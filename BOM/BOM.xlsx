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1" activeTab="1"/>
  </bookViews>
  <sheets>
    <sheet name="Current Transmitter" sheetId="1" r:id="rId1"/>
    <sheet name="Sheet1" sheetId="8" r:id="rId2"/>
    <sheet name="Microcontroller" sheetId="2" r:id="rId3"/>
    <sheet name="Gateway" sheetId="4" r:id="rId4"/>
    <sheet name="Order List" sheetId="6" r:id="rId5"/>
    <sheet name="OLD" sheetId="5" r:id="rId6"/>
    <sheet name="Pinout" sheetId="7" r:id="rId7"/>
  </sheets>
  <calcPr calcId="152511"/>
</workbook>
</file>

<file path=xl/calcChain.xml><?xml version="1.0" encoding="utf-8"?>
<calcChain xmlns="http://schemas.openxmlformats.org/spreadsheetml/2006/main">
  <c r="L20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" i="2"/>
  <c r="K8" i="4"/>
  <c r="K3" i="4"/>
  <c r="K4" i="4"/>
  <c r="K5" i="4"/>
  <c r="K7" i="4"/>
  <c r="K9" i="4"/>
  <c r="K10" i="4"/>
  <c r="K11" i="4"/>
  <c r="K12" i="4"/>
  <c r="K13" i="4"/>
  <c r="K14" i="4"/>
  <c r="K15" i="4"/>
  <c r="K16" i="4"/>
  <c r="K2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17" i="4"/>
  <c r="L3" i="1"/>
  <c r="L4" i="1"/>
  <c r="L5" i="1"/>
  <c r="L6" i="1"/>
  <c r="L7" i="1"/>
  <c r="L8" i="1"/>
  <c r="L9" i="1"/>
  <c r="L10" i="1"/>
  <c r="L11" i="1"/>
  <c r="L12" i="1"/>
  <c r="L13" i="1"/>
  <c r="L20" i="1" s="1"/>
  <c r="L14" i="1"/>
  <c r="L15" i="1"/>
  <c r="L16" i="1"/>
  <c r="L17" i="1"/>
  <c r="L18" i="1"/>
  <c r="L19" i="1"/>
  <c r="L2" i="1"/>
  <c r="K37" i="4" l="1"/>
  <c r="H43" i="6"/>
  <c r="H42" i="6"/>
  <c r="H41" i="6"/>
  <c r="H40" i="6"/>
  <c r="H39" i="6" l="1"/>
  <c r="H38" i="6"/>
  <c r="H37" i="6" l="1"/>
  <c r="H36" i="6"/>
  <c r="H35" i="6"/>
  <c r="H34" i="6"/>
  <c r="H33" i="6"/>
  <c r="H32" i="6"/>
  <c r="H31" i="6"/>
  <c r="H30" i="6"/>
  <c r="H29" i="6"/>
  <c r="H28" i="6"/>
  <c r="H25" i="6"/>
  <c r="H24" i="6"/>
  <c r="H23" i="6"/>
  <c r="H22" i="6"/>
  <c r="H21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3" i="6" l="1"/>
</calcChain>
</file>

<file path=xl/sharedStrings.xml><?xml version="1.0" encoding="utf-8"?>
<sst xmlns="http://schemas.openxmlformats.org/spreadsheetml/2006/main" count="866" uniqueCount="516">
  <si>
    <t>Reference</t>
  </si>
  <si>
    <t>Value</t>
  </si>
  <si>
    <t>Datasheet</t>
  </si>
  <si>
    <t>Footprint</t>
  </si>
  <si>
    <t>Qty</t>
  </si>
  <si>
    <t>C1</t>
  </si>
  <si>
    <t>~</t>
  </si>
  <si>
    <t>Capacitor_SMD:C_1206_3216Metric_Pad1.33x1.80mm_HandSolder</t>
  </si>
  <si>
    <t>C2</t>
  </si>
  <si>
    <t>2.2uF</t>
  </si>
  <si>
    <t>C3,C4</t>
  </si>
  <si>
    <t>0.1uF</t>
  </si>
  <si>
    <t>C5</t>
  </si>
  <si>
    <t>100pF</t>
  </si>
  <si>
    <t>D1</t>
  </si>
  <si>
    <t>ABS4</t>
  </si>
  <si>
    <t>https://diotec.com/tl_files/diotec/files/pdf/datasheets/abs2.pdf</t>
  </si>
  <si>
    <t>D2</t>
  </si>
  <si>
    <t>D_TVS</t>
  </si>
  <si>
    <t>Diode_SMD:D_SOD-323F</t>
  </si>
  <si>
    <t>FB1,FB2</t>
  </si>
  <si>
    <t>FerriteBead</t>
  </si>
  <si>
    <t>Fuse:Fuse_1210_3225Metric_Pad1.42x2.65mm_HandSolder</t>
  </si>
  <si>
    <t>Conn_01x02_Pin</t>
  </si>
  <si>
    <t>J2</t>
  </si>
  <si>
    <t>Q1</t>
  </si>
  <si>
    <t>NPN</t>
  </si>
  <si>
    <t>https://ngspice.sourceforge.io/docs/ngspice-html-manual/manual.xhtml#cha_BJTs</t>
  </si>
  <si>
    <t>Package_TO_SOT_SMD:SOT-89-3_Handsoldering</t>
  </si>
  <si>
    <t>R1</t>
  </si>
  <si>
    <t>100 Ohm</t>
  </si>
  <si>
    <t>Resistor_SMD:R_1206_3216Metric_Pad1.30x1.75mm_HandSolder</t>
  </si>
  <si>
    <t>R2</t>
  </si>
  <si>
    <t>25.5k Ohm</t>
  </si>
  <si>
    <t>R3</t>
  </si>
  <si>
    <t>50 Ohm</t>
  </si>
  <si>
    <t>R4</t>
  </si>
  <si>
    <t>2.4k Ohm</t>
  </si>
  <si>
    <t>R5</t>
  </si>
  <si>
    <t>100k Ohm</t>
  </si>
  <si>
    <t>0 Ohm</t>
  </si>
  <si>
    <t>U1</t>
  </si>
  <si>
    <t>U2</t>
  </si>
  <si>
    <t>XTR116U</t>
  </si>
  <si>
    <t>http://www.ti.com/lit/ds/symlink/xtr115.pdf</t>
  </si>
  <si>
    <t>Package_SO:SOIC-8_3.9x4.9mm_P1.27mm</t>
  </si>
  <si>
    <t>BT1</t>
  </si>
  <si>
    <t>Battery_Cell</t>
  </si>
  <si>
    <t>Battery:BatteryHolder_Keystone_500</t>
  </si>
  <si>
    <t>100nF</t>
  </si>
  <si>
    <t>C4</t>
  </si>
  <si>
    <t>4.7uF</t>
  </si>
  <si>
    <t>C12,C14,C15,C21,C22,C23,C24</t>
  </si>
  <si>
    <t>10uF</t>
  </si>
  <si>
    <t>D1,D2,D3,D4</t>
  </si>
  <si>
    <t>D_Zener</t>
  </si>
  <si>
    <t>Diode_SMD:D_MicroMELF_Handsoldering</t>
  </si>
  <si>
    <t>D5</t>
  </si>
  <si>
    <t>LED</t>
  </si>
  <si>
    <t>LED_SMD:LED_1206_3216Metric_Pad1.42x1.75mm_HandSolder</t>
  </si>
  <si>
    <t>J1</t>
  </si>
  <si>
    <t>24V Input</t>
  </si>
  <si>
    <t>TerminalBlock_Phoenix:TerminalBlock_Phoenix_MKDS-1,5-2-5.08_1x02_P5.08mm_Horizontal</t>
  </si>
  <si>
    <t>USB_B</t>
  </si>
  <si>
    <t>Connector_USB:USB_B_OST_USB-B1HSxx_Horizontal</t>
  </si>
  <si>
    <t>J3</t>
  </si>
  <si>
    <t>Conn_01x15_Socket</t>
  </si>
  <si>
    <t>Connector_PinSocket_2.54mm:PinSocket_1x15_P2.54mm_Vertical</t>
  </si>
  <si>
    <t>J4</t>
  </si>
  <si>
    <t>J5</t>
  </si>
  <si>
    <t>Conn_01x05_Pin</t>
  </si>
  <si>
    <t>TerminalBlock_Phoenix:TerminalBlock_Phoenix_MKDS-1,5-5-5.08_1x05_P5.08mm_Horizontal</t>
  </si>
  <si>
    <t>L1</t>
  </si>
  <si>
    <t>L2</t>
  </si>
  <si>
    <t>R3,R4</t>
  </si>
  <si>
    <t>1k</t>
  </si>
  <si>
    <t>R5,R6,R7,R8</t>
  </si>
  <si>
    <t>103 Ohm</t>
  </si>
  <si>
    <t>R10</t>
  </si>
  <si>
    <t>121 Ohm</t>
  </si>
  <si>
    <t>R11,R12</t>
  </si>
  <si>
    <t>203 Ohm</t>
  </si>
  <si>
    <t>1k Ohm</t>
  </si>
  <si>
    <t>R21,R22</t>
  </si>
  <si>
    <t>500 Ohm</t>
  </si>
  <si>
    <t>R23,R24,R25,R26</t>
  </si>
  <si>
    <t>2.2k Ohm</t>
  </si>
  <si>
    <t>10k Ohm</t>
  </si>
  <si>
    <t>FT232RL</t>
  </si>
  <si>
    <t>https://www.ftdichip.com/Support/Documents/DataSheets/ICs/DS_FT232R.pdf</t>
  </si>
  <si>
    <t>Package_SO:SSOP-28_5.3x10.2mm_P0.65mm</t>
  </si>
  <si>
    <t>U3</t>
  </si>
  <si>
    <t>LM324N</t>
  </si>
  <si>
    <t>U4</t>
  </si>
  <si>
    <t>MAX485E</t>
  </si>
  <si>
    <t>https://datasheets.maximintegrated.com/en/ds/MAX1487E-MAX491E.pdf</t>
  </si>
  <si>
    <t>U5</t>
  </si>
  <si>
    <t>AMS1117-3.3</t>
  </si>
  <si>
    <t>http://www.advanced-monolithic.com/pdf/ds1117.pdf</t>
  </si>
  <si>
    <t>Package_TO_SOT_SMD:SOT-223-3_TabPin2</t>
  </si>
  <si>
    <t>U6</t>
  </si>
  <si>
    <t>TXS0104EPW</t>
  </si>
  <si>
    <t>www.ti.com/lit/ds/symlink/txs0104e.pdf</t>
  </si>
  <si>
    <t>Package_SO:TSSOP-14_4.4x5mm_P0.65mm</t>
  </si>
  <si>
    <t>U7</t>
  </si>
  <si>
    <t>TCMT4600</t>
  </si>
  <si>
    <t>U8</t>
  </si>
  <si>
    <t>DS3231M</t>
  </si>
  <si>
    <t>http://datasheets.maximintegrated.com/en/ds/DS3231.pdf</t>
  </si>
  <si>
    <t>Package_SO:SOIC-16W_7.5x10.3mm_P1.27mm</t>
  </si>
  <si>
    <t>Conn_01x15_Pin</t>
  </si>
  <si>
    <t>Connector_PinHeader_2.54mm:PinHeader_1x15_P2.54mm_Vertical</t>
  </si>
  <si>
    <t>Connector_PinHeader_2.54mm:PinHeader_1x02_P2.54mm_Vertical</t>
  </si>
  <si>
    <t>Package_TO_SOT_SMD:SOT-23_Handsoldering</t>
  </si>
  <si>
    <t>R8</t>
  </si>
  <si>
    <t>4.7k Ohm</t>
  </si>
  <si>
    <t>R9</t>
  </si>
  <si>
    <t>ESP32-WROOM-32UE</t>
  </si>
  <si>
    <t>https://www.espressif.com/sites/default/files/documentation/esp32-wroom-32e_esp32-wroom-32ue_datasheet_en.pdf</t>
  </si>
  <si>
    <t>RF_Module:ESP32-WROOM-32UE</t>
  </si>
  <si>
    <t>Avaible Stock</t>
  </si>
  <si>
    <t>Sr No</t>
  </si>
  <si>
    <t>Description</t>
  </si>
  <si>
    <t>Quantity</t>
  </si>
  <si>
    <t xml:space="preserve">1×40 Pin 2.54MM Berg Strip Male Connector </t>
  </si>
  <si>
    <t>TVS Diode , BI, 500W,36V,SOD-323</t>
  </si>
  <si>
    <t>Bridge Rectifier, 1.5A, 1000V</t>
  </si>
  <si>
    <t>MMBTA28-7-F-DIODES INC.-Darlington Transistor, Darlington, NPN, 80 V, 300 mW, 500 mA, SOT-23, 3 Pins</t>
  </si>
  <si>
    <t>0.01uF 50V 0603</t>
  </si>
  <si>
    <t>0.1uF 50V 1206</t>
  </si>
  <si>
    <t>Yageo 10k Ohm 1/4W 1206 Surface Mount Chip Resistor</t>
  </si>
  <si>
    <t>Yageo 1k Ohm 1/4W 1206 Surface Mount Chip Resistor</t>
  </si>
  <si>
    <t>Yageo, Zero Ohm Resistor, Jumper, 1206 [3216 Metric], Thick Film, 250 mW, 2 A, Surface Mount Device</t>
  </si>
  <si>
    <t>Transistor NPN 45V, 2A, SOT-89</t>
  </si>
  <si>
    <t>Degson-2 Pin 5.08 mm Pitch Pluggable type PCB Terminal Block</t>
  </si>
  <si>
    <t>Degson-2 Pin 5.08 mm Pitch Pluggable Terminal Block Socket</t>
  </si>
  <si>
    <t>100K 1206</t>
  </si>
  <si>
    <t>130k 1206</t>
  </si>
  <si>
    <t>1k 1206</t>
  </si>
  <si>
    <t>10k 1206</t>
  </si>
  <si>
    <t>68k 1206</t>
  </si>
  <si>
    <t>20k 1206</t>
  </si>
  <si>
    <t>10uF 1206</t>
  </si>
  <si>
    <t>1uF 1206</t>
  </si>
  <si>
    <t xml:space="preserve">Sr No </t>
  </si>
  <si>
    <t>Reference Designator</t>
  </si>
  <si>
    <t>Cost</t>
  </si>
  <si>
    <t>10nF 1206 Surface Mount MLCC</t>
  </si>
  <si>
    <t>Price</t>
  </si>
  <si>
    <t>10nF</t>
  </si>
  <si>
    <t>Diode_SMD:Diode_Bridge_OnSemi_SDIP-4L</t>
  </si>
  <si>
    <t>C1(CT)</t>
  </si>
  <si>
    <t>Available</t>
  </si>
  <si>
    <t>Yes</t>
  </si>
  <si>
    <t>Order</t>
  </si>
  <si>
    <t>Yageo 100 Ohm 1/4W 1206 Surface Mount Resistor</t>
  </si>
  <si>
    <t>AC0402JR-0750RL-YAGEO-Res Thick Film 0402 50 Ohm 5% 0.063W(1/16W) ±100ppm/°C Pad SMD T/R Automotive AEC-Q200</t>
  </si>
  <si>
    <t>RC0603FR-0725K5L,YAGEO,25.5 kOhms ±1% 0.1W, 1/10W Chip Resistor 0603</t>
  </si>
  <si>
    <t>0603WAF2551T5E-Uniohm/Royal-ohm-100mW Thick Film Resistors 75V ±100ppm/℃±1% 2.55kΩ 0603 Chip Resistor – Surface Mount ROHS</t>
  </si>
  <si>
    <t>Yageo 2.2uF 50V SMD Multilayer Ceramic Capacitor</t>
  </si>
  <si>
    <t>Pin</t>
  </si>
  <si>
    <t>GPIO</t>
  </si>
  <si>
    <t>Use</t>
  </si>
  <si>
    <t>Sr no</t>
  </si>
  <si>
    <t>MOSI</t>
  </si>
  <si>
    <t>MISO</t>
  </si>
  <si>
    <t>GPIO19</t>
  </si>
  <si>
    <t>GPIO18</t>
  </si>
  <si>
    <t>SCK</t>
  </si>
  <si>
    <t>GPIO5</t>
  </si>
  <si>
    <t>CS</t>
  </si>
  <si>
    <t>GPIO25</t>
  </si>
  <si>
    <t>GPIO26</t>
  </si>
  <si>
    <t>SDA</t>
  </si>
  <si>
    <t>SCL</t>
  </si>
  <si>
    <t>GPIO32</t>
  </si>
  <si>
    <t>GPIO33</t>
  </si>
  <si>
    <t>GPIO34</t>
  </si>
  <si>
    <t>GPIO35</t>
  </si>
  <si>
    <t>DI1</t>
  </si>
  <si>
    <t>DI2</t>
  </si>
  <si>
    <t>DI3</t>
  </si>
  <si>
    <t>DI4</t>
  </si>
  <si>
    <t>GPIO1</t>
  </si>
  <si>
    <t>GPIO3</t>
  </si>
  <si>
    <t>Tx UART</t>
  </si>
  <si>
    <t>Rx UART</t>
  </si>
  <si>
    <t>BOOT</t>
  </si>
  <si>
    <t>GPIO12</t>
  </si>
  <si>
    <t>WIFI LED</t>
  </si>
  <si>
    <t>GPIO16</t>
  </si>
  <si>
    <t>GPIO17</t>
  </si>
  <si>
    <t>RX MB</t>
  </si>
  <si>
    <t>Tx MB</t>
  </si>
  <si>
    <t>GPIO22</t>
  </si>
  <si>
    <t>RTS MB</t>
  </si>
  <si>
    <t>GPIO10</t>
  </si>
  <si>
    <t>GPIO23</t>
  </si>
  <si>
    <t>Yageo 22uF 25V SMD Multilayer Ceramic Capacitor</t>
  </si>
  <si>
    <t>10k Ohm 1/4W 1206 Surface Mount Chip Resistor</t>
  </si>
  <si>
    <t>1206CG101J500NT-FH -50V 100pF C0G±5% 1206 Multilayer Ceramic Capacitors MLCC – SMD/SMT ROHS</t>
  </si>
  <si>
    <t>AC0805JR-074K7L-YAGEO-Res Thick Film 0805 4.7K Ohm 5% 0.125W(1/8W) ±100ppm/°C Pad SMD T/R Automotive AEC-Q200</t>
  </si>
  <si>
    <t>1206 Surface Mount LED Orange</t>
  </si>
  <si>
    <t>SKQMARE010 Tactile Switch, SKQM, Top Actuated, Surface Mount, Rectangular Button, 255 gf, 50mA at 12VDC</t>
  </si>
  <si>
    <t>LM1117MP-3.3/NOPB Fixed LDO Voltage Regulator, 4.75 V to 15 V, 1.2 V Dropout, 3.3 V/800 mA out, SOT-223-4</t>
  </si>
  <si>
    <t>DM3AT-SF-PEJM5 Memory Card Connector, MicroSD, Push-Push, 8 Contacts, Copper Alloy, Gold Plated Contacts, DM3</t>
  </si>
  <si>
    <t>MMBT3904LT1G Bipolar (BJT) Single Transistor, General Purpose, NPN, 40 V, 200 mA, 225 mW, SOT-23, Surface Mount</t>
  </si>
  <si>
    <t>XTR116UA/2K5 Signal Conditioner, 4-20mA Signal Conditioner, 7.5 V, 36 V, SOIC, 8 Pins, -55 °C</t>
  </si>
  <si>
    <t>BOOT1</t>
  </si>
  <si>
    <t>Button_Switch_SMD:SW_SPST_CK_RS282G05A3</t>
  </si>
  <si>
    <t>22uF 25V</t>
  </si>
  <si>
    <t>100nF 10V</t>
  </si>
  <si>
    <t>C8</t>
  </si>
  <si>
    <t>22uF 10V</t>
  </si>
  <si>
    <t>J6</t>
  </si>
  <si>
    <t>Micro_SD_Card_Det_Hirose_DM3AT</t>
  </si>
  <si>
    <t>https://www.hirose.com/product/en/download_file/key_name/DM3/category/Catalog/doc_file_id/49662/?file_category_id=4&amp;item_id=195&amp;is_series=1</t>
  </si>
  <si>
    <t>Connector_Card:microSD_HC_Hirose_DM3AT-SF-PEJM5</t>
  </si>
  <si>
    <t>RST1</t>
  </si>
  <si>
    <t>DS3231M+TRL Real Time Clock IC, Alarm, I2C, HH:MM:SS, Day; Date; Month; Year, 2.3 V to 5.5 V, WSOIC-16</t>
  </si>
  <si>
    <t>61729-0010BLF USB Connector, USB Type B, USB 2.0, Receptacle, 4 Ways, Through Hole Mount, Right Angle</t>
  </si>
  <si>
    <t>LM324ADT Operational Amplifier, Quad, 4 Channels, 1.3 MHz, 0.4 V/µs, ± 1.5V to ± 15V, SOIC, 14 Pins</t>
  </si>
  <si>
    <t>TCMT4600 Optocoupler, Transistor Output, 4 Channel, SOP, 16 Pins, 60 mA, 3.75 kV, 80 %</t>
  </si>
  <si>
    <t>TXS0104EPWR Voltage Level Translator, 4 Input, 50 mA, 4.6 ns, 1.65 V to 5.5 V, TSSOP-14</t>
  </si>
  <si>
    <t>BZT55C5V6-GS08-VISHAY-BZT55C5V6-GS08-Zener Single Diode, 5.6 V, 500 mW, SOD-80 (MiniMELF), 2 Pins, 175 °C, Surface Mount</t>
  </si>
  <si>
    <t>GRT21BC8YA475KE13L-Murata Electronics-35V 4.7uF X6S ±10% 0805 Multilayer Ceramic Capacitors MLCC – SMD/SMT ROHS</t>
  </si>
  <si>
    <t>RC0805FR-0713K7L-Yageo-SMD Chip Resistor, 13.7 kohm, ± 1%, 125 mW, 0805 [2012 Metric], Thick Film, General Purpose</t>
  </si>
  <si>
    <t>Shortform</t>
  </si>
  <si>
    <t>10nF 1206 25V</t>
  </si>
  <si>
    <t>25.5l ohm 0603</t>
  </si>
  <si>
    <t>2.5k Ohm 0603</t>
  </si>
  <si>
    <t>2.2uF 50V</t>
  </si>
  <si>
    <t>22uF 25V SMD</t>
  </si>
  <si>
    <t>1206 Surface Mount LED</t>
  </si>
  <si>
    <t>10k Ohm 1206</t>
  </si>
  <si>
    <t>100pF 50V</t>
  </si>
  <si>
    <t>4.7k Ohm 0805</t>
  </si>
  <si>
    <t>736.3k Ohm 1117</t>
  </si>
  <si>
    <t xml:space="preserve">4.7uF 35V </t>
  </si>
  <si>
    <t>5.6V MELF</t>
  </si>
  <si>
    <t>SKQM, Top Actuated, Surface Mount, Rectangular ButtonSwitch M</t>
  </si>
  <si>
    <t>4-20mA Signal Conditioner, 7.5K V</t>
  </si>
  <si>
    <t>Transistor Output, 4 Channel, SOP, 16 Pins, 60 mA, 3.75Transistor C</t>
  </si>
  <si>
    <t>0805W8F2802T5E-Uniohm/Royal-ohm-125mW Thick Film Resistors 150V±100ppm/℃ ±1% 28kΩ0805 Chip Resistor – Surface Mount ROHS</t>
  </si>
  <si>
    <t>10pF 1206 Surface Mount Multilayer Ceramic Capacitor (Pack of 30)</t>
  </si>
  <si>
    <t>EEEFK1H101P SMD Aluminium Electrolytic Capacitor, Radial Can - SMD, 100 µF, 50 V, 2000 hours @ 105°C, Polar</t>
  </si>
  <si>
    <t>EEEFT1V101AP SMD Aluminium Electrolytic Capacitor, Radial Can - SMD, 100 µF, 35 V, 0.26 ohm</t>
  </si>
  <si>
    <t>C19</t>
  </si>
  <si>
    <t>C20</t>
  </si>
  <si>
    <t>Package_SO:SOIC-14_3.9x8.7mm_P1.27mm</t>
  </si>
  <si>
    <t>Package_SO:SOP-16_4.55x10.3mm_P1.27mm</t>
  </si>
  <si>
    <t>R13,R14,R15,R16,R27,R28,R29,R30,R31</t>
  </si>
  <si>
    <t>MAX485ESA SO-8 Transceiver Interface IC</t>
  </si>
  <si>
    <t>2.2k Ohm 1/4W 1206 Surface Mount Chip Resistor</t>
  </si>
  <si>
    <t>2.2k Ohm 1206</t>
  </si>
  <si>
    <t>100 Ohm 1206</t>
  </si>
  <si>
    <t>AC1206JR-07200RL-YAGEO-Res Thick Film 1206 200 Ohm 5% 0.25W(1/4W) ±100ppm/°C Pad SMD T/R Automotive AEC-Q200</t>
  </si>
  <si>
    <t>200 Ohm 1206</t>
  </si>
  <si>
    <t>C1,C3</t>
  </si>
  <si>
    <t>C2,C4,C5</t>
  </si>
  <si>
    <t>C6,C7</t>
  </si>
  <si>
    <t>J2,J4,J5</t>
  </si>
  <si>
    <t>Connector_JST:JST_XH_B2B-XH-A_1x02_P2.50mm_Vertical</t>
  </si>
  <si>
    <t>Q1,Q2</t>
  </si>
  <si>
    <t>R2,R4,R6,R7</t>
  </si>
  <si>
    <t>R3,R5</t>
  </si>
  <si>
    <t>TBA 1-0511v Isolated Through Hole DC/DC Converter, ITE, SIP, 1:1, 1 W, 1 Output, 5 V</t>
  </si>
  <si>
    <t>MSS1210-104KED Power Inductor (SMD), 100 µH, 3.4 A, Shielded, 3.1 A, MSS1210 Series</t>
  </si>
  <si>
    <t>Capacitor_THT:C_Rect_L7.0mm_W2.5mm_P5.00mm</t>
  </si>
  <si>
    <t>470uF 50V</t>
  </si>
  <si>
    <t>Capacitor_THT:CP_Radial_D10.0mm_P5.00mm</t>
  </si>
  <si>
    <t>1000uF</t>
  </si>
  <si>
    <t>Capacitor_THT:C_Rect_L10.3mm_W5.0mm_P7.50mm_MKS4</t>
  </si>
  <si>
    <t>SS34</t>
  </si>
  <si>
    <t>https://www.vishay.com/docs/88751/ss32.pdf</t>
  </si>
  <si>
    <t>Diode_SMD:D_SMA</t>
  </si>
  <si>
    <t>12uH</t>
  </si>
  <si>
    <t>Inductor_SMD:L_Vishay_IHLP-5050</t>
  </si>
  <si>
    <t>100uH</t>
  </si>
  <si>
    <t>TBA1-0511E</t>
  </si>
  <si>
    <t>https://www.tracopower.com/products/tba1e.pdf</t>
  </si>
  <si>
    <t>Converter_DCDC:Converter_DCDC_TRACO_TBA1-xxxxE_Single_THT</t>
  </si>
  <si>
    <t>U9</t>
  </si>
  <si>
    <t>LM2576HVS-5</t>
  </si>
  <si>
    <t>http://www.ti.com/lit/ds/symlink/lm2576.pdf</t>
  </si>
  <si>
    <t>Package_TO_SOT_SMD:TO-263-5_TabPin3</t>
  </si>
  <si>
    <t>MCP47FEB22A0-E/ST Digital to Analogue Converter, 12 bit, 3.4 MSPS, I2C, 1.8V to 5.5V, TSSOP, 8 Pins</t>
  </si>
  <si>
    <t>C7,C27</t>
  </si>
  <si>
    <t>D6,D7</t>
  </si>
  <si>
    <t>R1,R2</t>
  </si>
  <si>
    <t>SRR1206-120ML Power Inductor (SMD), 12 µH, 3 A, Shielded, SRR1206 Series</t>
  </si>
  <si>
    <t>LM2576HVS-5 (TO-263-5) Buck (Step Down) Switching Voltage Regulator</t>
  </si>
  <si>
    <t>Espressif ESP32-WROOM-32UE-N16 Module</t>
  </si>
  <si>
    <t>Unpolarized capacitor</t>
  </si>
  <si>
    <t>Miniature Glass Passivated Single-Phase Surface Mount Bridge Rectifiers, 280V Vrms, 0.8A If, ABS SMD package</t>
  </si>
  <si>
    <t>Bidirectional transient-voltage-suppression diode</t>
  </si>
  <si>
    <t>Ferrite bead</t>
  </si>
  <si>
    <t>TerminalBlock:TerminalBlock_bornier-2_P5.08mm</t>
  </si>
  <si>
    <t>Generic connector, single row, 01x02, script generated</t>
  </si>
  <si>
    <t>Connector_PinHeader_2.54mm:PinHeader_1x05_P2.54mm_Vertical</t>
  </si>
  <si>
    <t>Generic connector, single row, 01x05, script generated</t>
  </si>
  <si>
    <t>J3,J4,J5</t>
  </si>
  <si>
    <t>Bipolar transistor symbol for simulation only, substrate tied to the emitter</t>
  </si>
  <si>
    <t>Resistor</t>
  </si>
  <si>
    <t>4-20mA Current Loop Transmitter, VREF 4.096V, SO-8</t>
  </si>
  <si>
    <t>MCP47FEB22A0-E/ST</t>
  </si>
  <si>
    <t>MCP47FVBX1:TSSOP8_ST_MCH</t>
  </si>
  <si>
    <t>From</t>
  </si>
  <si>
    <t>Robu</t>
  </si>
  <si>
    <t>element14</t>
  </si>
  <si>
    <t>Data</t>
  </si>
  <si>
    <t>https://robu.in/product/ac0402fr-0725k5l-yageo-res-thick-film-0402-25-5k-ohm-1-0-063w1-16w-%c2%b1100ppm-c-pad-smd-t-r-automotive-aec-q200/</t>
  </si>
  <si>
    <t>Cost per unit</t>
  </si>
  <si>
    <t>Total</t>
  </si>
  <si>
    <t>https://robu.in/product/ac0402jr-0750rl-yageo-res-thick-film-0402-50-ohm-5-0-063w1-16w-%c2%b1100ppm-c-pad-smd-t-r-automotive-aec-q200/</t>
  </si>
  <si>
    <t>https://robu.in/product/rc1206fr-072k4l-yageo-res-thick-film-1206-2-4k-ohm-1-0-25w1-4w-%c2%b1100ppm-c-pad-smd-t-r/</t>
  </si>
  <si>
    <t>https://robu.in/product/1206cg101j500nt-fh-50v-100pf-c0g%c2%b15-1206-multilayer-ceramic-capacitors-mlcc-smd-smt-rohs/</t>
  </si>
  <si>
    <t>https://robu.in/product/cl31b225kahnnne-samsang-25v-2-2uf-x7r-%c2%b110-1206-multilayer-ceramic-capacitors-mlcc-smd-smt-rohs/</t>
  </si>
  <si>
    <t>https://in.element14.com/microchip/mcp47feb22a0-e-st/dac-12bit-3-4msps-tssop-8/dp/2473406</t>
  </si>
  <si>
    <t>https://in.element14.com/texas-instruments/xtr116ua-2k5/current-loop-transmitter-380khz/dp/3005423</t>
  </si>
  <si>
    <t>C1,C2,C3,C6,C8,C11,C17,C26,C28,C29,C30,C31</t>
  </si>
  <si>
    <t>https://robu.in/product/degson-5-pin-5-08mm-pitch-pluggable-terminal-block/?gad_source=1&amp;gclid=Cj0KCQjwqIm_BhDnARIsAKBYcmtF5OyXOYOvB2iCGnGB1d2uJlH9bBMQcvnBABiYnBUCB2P1xpyML3YaAplTEALw_wcB</t>
  </si>
  <si>
    <t>https://robu.in/product/usb-connector-jdh-11/?gad_source=1&amp;gclid=Cj0KCQjwqIm_BhDnARIsAKBYcmumFy5m6TO_cTCLwjpYGhqjBNc7uSjS37HW54wt0XxLnTBc_BdyMEAaAgNkEALw_wcB</t>
  </si>
  <si>
    <t>https://robu.in/product/ds3231-ic-real-time-clock-integrated-rtc-tcxo-crystal/</t>
  </si>
  <si>
    <t>Element14</t>
  </si>
  <si>
    <t>https://in.element14.com/texas-instruments/txs0104epwr/volt-level-translator-4bit-tssop/dp/3120987</t>
  </si>
  <si>
    <t>https://in.element14.com/vishay/tcmt4600/optocplr-smd-16pin-4ch-trans-syst/dp/1779651</t>
  </si>
  <si>
    <t>https://in.element14.com/stmicroelectronics/lm324adt/op-amp-quad-1-3mhz-0-4v-s-14soic/dp/1750145</t>
  </si>
  <si>
    <t>https://in.element14.com/bourns/srr1206-120ml/inductor-12uh-20-3a-smd/dp/2333801</t>
  </si>
  <si>
    <t>https://in.element14.com/coilcraft/mss1210-104ked/inductor-100uh-3-4a-10-pwr-3-6mhz/dp/2288307</t>
  </si>
  <si>
    <t>https://robu.in/product/1k-ohm-1-4w-1206-surface-mount-chip-resistor-pack-of-100/</t>
  </si>
  <si>
    <t>https://in.element14.com/ftdi/ft232rl-reel/ic-usb-to-uart-smd-28ssop/dp/1146032</t>
  </si>
  <si>
    <t>https://robu.in/product/max485esat-analog-devices-max485esat-transceiver-rs422-rs485-4-75v-5-25v-supply-1-driver-nsoic-8/</t>
  </si>
  <si>
    <t>https://robu.in/product/lm1117mp-3-3-nopb-texas-instruments-fixed-ldo-voltage-regulator-4-75-v-to-15-v-1-2-v-dropout-3-3-v-800-ma-out-sot-223-4/</t>
  </si>
  <si>
    <t>https://robu.in/product/lm2576hvs-5-to-263-5-buck-step-down-switching-voltage-regulator/</t>
  </si>
  <si>
    <t>https://robu.in/product/k-cut-b0505s/</t>
  </si>
  <si>
    <t>https://robu.in/product/10k-ohm-1-4w-1206-surface-mount-chip-resistor-pack-of-100/</t>
  </si>
  <si>
    <t xml:space="preserve">Order </t>
  </si>
  <si>
    <t>https://robu.in/product/2-2k-ohm-1-4w-1206-surface-mount-chip-resistor-pack-of-100/</t>
  </si>
  <si>
    <t>https://robu.in/product/ac1206jr-07200rl-yageo-res-thick-film-1206-200-ohm-5-0-25w1-4w-%c2%b1100ppm-c-pad-smd-t-r-automotive-aec-q200/</t>
  </si>
  <si>
    <t>Current Transmitter</t>
  </si>
  <si>
    <t>https://robu.in/product/yageo-100-ohm-1-4w-1206-surface-mount-resistor-pack-of-50/</t>
  </si>
  <si>
    <t>https://robu.in/product/rc0805fr-07121rl-yageo-smd-chip-resistor-121-ohm-%c2%b1-1-125-mw-0805-2012-metric-thick-film-general-purpose/</t>
  </si>
  <si>
    <t>https://robu.in/product/2-54mm-1x40-pin-female-single-row-header-strip-pack-of-10/</t>
  </si>
  <si>
    <t>yes</t>
  </si>
  <si>
    <t>https://robu.in/product/ss34-schottky-diode-for-high-speed-switching-pack-of-2/</t>
  </si>
  <si>
    <t>https://robu.in/product/1206-surface-mount-led-orange-50-pcs/</t>
  </si>
  <si>
    <t>https://robu.in/product/tzmc5v1-gs08-vishay-tzmc5v1-gs08-zener-single-diode-5-1-v-500-mw-sod-80-minimelf-2-pins-175-c-surface-mount/</t>
  </si>
  <si>
    <t>https://robu.in/product/uhe1h471mhd6-nichicon-470uf-50v-45m%cf%89100khz-%c2%b120-1-66a100khz-plugind12-5xl20mm-aluminum-electrolytic-capacitors-leaded-rohs/</t>
  </si>
  <si>
    <t>https://robu.in/product/uhw1c102mpd-nichicon-1000uf-%c2%b120-plugind10xl16mm-aluminum-electrolytic-capacitors-leaded-rohs/</t>
  </si>
  <si>
    <t>100 V 0.1uF</t>
  </si>
  <si>
    <t>100V 1uF</t>
  </si>
  <si>
    <t>https://in.element14.com/wima/mks2d041001k00kssd/cap-1-f-100v-10-pet-through-hole/dp/1890147</t>
  </si>
  <si>
    <t>https://robu.in/product/cl31b106klhnnne-samsung-cap-ceramic-10uf-35v-x7r-10-pad-smd-1206-125c-t-r/</t>
  </si>
  <si>
    <t>https://robu.in/product/1206b475k250nt-fh-25v-4-7uf-x7r%c2%b110-1206-multilayer-ceramic-capacitors-mlcc-smd-smt-rohs/</t>
  </si>
  <si>
    <t>https://in.element14.com/keystone/500/holder-battery-1-cell-12mm/dp/3029839</t>
  </si>
  <si>
    <t>Jumper, 2-pole, open</t>
  </si>
  <si>
    <t>Light emitting diode</t>
  </si>
  <si>
    <t>Generic connector, single row, 01x15, script generated</t>
  </si>
  <si>
    <t>Micro SD Card Socket with card detection pins</t>
  </si>
  <si>
    <t>1A Low Dropout regulator, positive, 3.3V fixed output, SOT-223</t>
  </si>
  <si>
    <t>RF Module, ESP32-D0WD-V3 SoC, without PSRAM, Wi-Fi 802.11b/g/n, Bluetooth, BLE, 32-bit, 2.7-3.6V, external antenna, SMD</t>
  </si>
  <si>
    <t>https://robu.in/product/362-5mm-tactile-push-button-switch-20pcs/?gad_source=1&amp;gclid=Cj0KCQjwqIm_BhDnARIsAKBYcmtAdortwlRSg5kZ637HsE58iW_ELnUsMEIdrc9LBCBkM7LsJ3OOdfIaAp87EALw_wcB</t>
  </si>
  <si>
    <t>https://robu.in/product/espressif-esp32-wroom-32ue-n16-module/</t>
  </si>
  <si>
    <t>Gateway</t>
  </si>
  <si>
    <t>https://in.element14.com/hirose-hrs/dm3at-sf-pejm5/connector-micro-sd-standard-8pos/dp/2427719</t>
  </si>
  <si>
    <t>https://in.element14.com/on-semiconductor/mmbt3904lt1g/transistor-npn-40v-sot-23/dp/1459100</t>
  </si>
  <si>
    <t>https://robu.in/product/b2b-xh-alfsn-jst-1x2p-2p-xh-tin-2-25%e2%84%8385%e2%84%83-3a-1-2-5mm-brass-direct-insert-pluginp2-5mm-wire-to-board-connector-rohs/</t>
  </si>
  <si>
    <t>https://robu.in/product/yageo-4-7k-ohm-1-4w-0805-surface-mount-resistor-pack-of-50/</t>
  </si>
  <si>
    <t>https://robu.in/product/1206x226m250nt-fh-25v-22uf-x5r%c2%b120-1206-multilayer-ceramic-capacitors-mlcc-smd-smt-rohs/</t>
  </si>
  <si>
    <t>https://robu.in/product/100nf-400v-dip-polyester-film-capacitor-pitch10mm/</t>
  </si>
  <si>
    <t>MPN Code</t>
  </si>
  <si>
    <t>Female Socket 2.54mm</t>
  </si>
  <si>
    <t>J3(G)</t>
  </si>
  <si>
    <t>Degson-5 Pin 5.08mm Terminal Block</t>
  </si>
  <si>
    <t>J5(G)</t>
  </si>
  <si>
    <t>Degson-5 Pin 5.08 mm Pitch Pluggable type PCB Terminal Block</t>
  </si>
  <si>
    <t>R175199</t>
  </si>
  <si>
    <t>K-CUT B0505S-1WR3 DC-DC 5 to 5V Isolated Power Module</t>
  </si>
  <si>
    <t>U2(G)</t>
  </si>
  <si>
    <t>J2(G)</t>
  </si>
  <si>
    <t>USB Connector-JDH-11</t>
  </si>
  <si>
    <t>U9(G)</t>
  </si>
  <si>
    <t>R186558</t>
  </si>
  <si>
    <t>LM1117MP-3.3/NOPB-Texas Instruments-Fixed LDO Voltage Regulator, 4.75 V to 15 V, 1.2 V Dropout, 3.3 V/800 mA out, SOT-223-4</t>
  </si>
  <si>
    <t>C5(G)</t>
  </si>
  <si>
    <t>R186005</t>
  </si>
  <si>
    <t>470uF,50V</t>
  </si>
  <si>
    <t>U8(G)</t>
  </si>
  <si>
    <t>DS3231</t>
  </si>
  <si>
    <t>U5(G),U1(M)</t>
  </si>
  <si>
    <t>BOOT1(M)</t>
  </si>
  <si>
    <t>C19(G)</t>
  </si>
  <si>
    <t>R186105</t>
  </si>
  <si>
    <t>1000uF,16V</t>
  </si>
  <si>
    <t>D1,D2,D3,D4(G)</t>
  </si>
  <si>
    <t>R191242</t>
  </si>
  <si>
    <t>5V Zener Voltage Regulator</t>
  </si>
  <si>
    <t>D5(G),D1(M)</t>
  </si>
  <si>
    <t>Orange Led</t>
  </si>
  <si>
    <t>R174977</t>
  </si>
  <si>
    <t>P=2.5mm Wire To Board Connector ROHS</t>
  </si>
  <si>
    <t>D6(G),D7(G)</t>
  </si>
  <si>
    <t>J2(M),J4(M),J5(M),RST</t>
  </si>
  <si>
    <t>SS34 Socktky Diode</t>
  </si>
  <si>
    <t>U4(G)</t>
  </si>
  <si>
    <t>R136511</t>
  </si>
  <si>
    <t>MAX485</t>
  </si>
  <si>
    <t>Tactile Button</t>
  </si>
  <si>
    <t>Samsung-Cap Ceramic 10uF 35V X7R 10% Pad SMD 1206</t>
  </si>
  <si>
    <t>R139411</t>
  </si>
  <si>
    <t>C14(G),C15(G)</t>
  </si>
  <si>
    <t>R139413</t>
  </si>
  <si>
    <t>25V 4.7uF X7R±10% 1206 MLCC</t>
  </si>
  <si>
    <t>C7(G),C27(G)</t>
  </si>
  <si>
    <t>R139376</t>
  </si>
  <si>
    <t>25V 22uF X5R±20% 1206 MLCC</t>
  </si>
  <si>
    <t>C1(M),C3(M)</t>
  </si>
  <si>
    <t>R144549</t>
  </si>
  <si>
    <t>50V 100pF C0G±5% 1206 MLCC</t>
  </si>
  <si>
    <t>R136849</t>
  </si>
  <si>
    <t>Thick Film 1206 200 Ohm 5% 0.25W(1/4W)</t>
  </si>
  <si>
    <t>C5(CT)</t>
  </si>
  <si>
    <t>R11(G),R12(G)</t>
  </si>
  <si>
    <t>R172182</t>
  </si>
  <si>
    <t>25V 2.2uF X7R ±10% 1206 MLCC</t>
  </si>
  <si>
    <t>C2(CT)</t>
  </si>
  <si>
    <t>R197214</t>
  </si>
  <si>
    <t>Yageo 4.7k Ohm 1/4W 0805</t>
  </si>
  <si>
    <t>10k Ohm 1/4W 1206</t>
  </si>
  <si>
    <t>R8(M)</t>
  </si>
  <si>
    <t>R2(M),R7(M),R4(M),R6(M),R27(G),R28(G),R29(G),R30(G),R13(G),R14(G),R15(G),R16(G)</t>
  </si>
  <si>
    <t>2.2 k Ohm 1/4W 1206</t>
  </si>
  <si>
    <t>R23(G),R24(G),R25(G),R26(G),R3(M),R5(M),R4(CT)</t>
  </si>
  <si>
    <t>1k Ohm 1/4W 1206</t>
  </si>
  <si>
    <t>R22(G),R21(G),R31(G),R3(G),R4(G),R9(M),R1(M)</t>
  </si>
  <si>
    <t>Thick Film 0402 25.5K Ohm 1% 0.063W</t>
  </si>
  <si>
    <t>R137217</t>
  </si>
  <si>
    <t>R2(CT)</t>
  </si>
  <si>
    <t>R137716</t>
  </si>
  <si>
    <t>Thick Film 0402 50 Ohm 5% 0.063W(1/16W)</t>
  </si>
  <si>
    <t>R3(CT)</t>
  </si>
  <si>
    <t>121 Ohm +-1%, 125mW</t>
  </si>
  <si>
    <t>R10(G)</t>
  </si>
  <si>
    <t>100nF 400V DIP Polyester Film Capacitor</t>
  </si>
  <si>
    <t>MT76813DBI ESP8266 Serial WIFI wireless Gain Antenna</t>
  </si>
  <si>
    <t>Antenna</t>
  </si>
  <si>
    <t>C4(G)</t>
  </si>
  <si>
    <t>L1(G)</t>
  </si>
  <si>
    <t>233-3801</t>
  </si>
  <si>
    <t>SRR1206-120ML Inductor, 12uH, 20%</t>
  </si>
  <si>
    <t>BT1(G)</t>
  </si>
  <si>
    <t>302-9839</t>
  </si>
  <si>
    <t>500:Holder , Battery Cell, 12mm</t>
  </si>
  <si>
    <t>J6(M)</t>
  </si>
  <si>
    <t>242-7719</t>
  </si>
  <si>
    <t>DM3AT_SF-PEJM5: Micro SD Card Connector</t>
  </si>
  <si>
    <t>LM324ADT:OPAmp Quad, 1.3MHz 0.4V</t>
  </si>
  <si>
    <t>175-0145</t>
  </si>
  <si>
    <t>U3(G)</t>
  </si>
  <si>
    <t>145-9100</t>
  </si>
  <si>
    <t>MMBT3904LT1G:Transistor, NPN, 40V</t>
  </si>
  <si>
    <t>Q1,Q2(M)</t>
  </si>
  <si>
    <t>U1(G)</t>
  </si>
  <si>
    <t>114-6032</t>
  </si>
  <si>
    <t>FT232RL-REEL:IC, USB to UART</t>
  </si>
  <si>
    <t>U6(G)</t>
  </si>
  <si>
    <t>312-0987</t>
  </si>
  <si>
    <t>TXS0104EPWR: Voltage level translator</t>
  </si>
  <si>
    <t>C20(G)</t>
  </si>
  <si>
    <t>189-0147</t>
  </si>
  <si>
    <t>MKS2D041001K00KSSD:CAP 1uF 100V</t>
  </si>
  <si>
    <t>U7(G)</t>
  </si>
  <si>
    <t>177-9651</t>
  </si>
  <si>
    <t>TCMT4600: Optocoupler, SMD 16 Pin 4 Channel</t>
  </si>
  <si>
    <t>U3(CT)</t>
  </si>
  <si>
    <t>247-3406</t>
  </si>
  <si>
    <t>MCP47FEB22A0-E/ST :DAC 12Bit 3.4MS</t>
  </si>
  <si>
    <t>U2(CT)</t>
  </si>
  <si>
    <t>300-5423</t>
  </si>
  <si>
    <t>XTR116UA/2K5:Current loop Transmitter</t>
  </si>
  <si>
    <t>325-9957</t>
  </si>
  <si>
    <t>TBA 1-0511:DC-DC Convertor, 5V, 0.2 A</t>
  </si>
  <si>
    <t>L2(G)</t>
  </si>
  <si>
    <t>228-8307</t>
  </si>
  <si>
    <t>MSS1210-104KED:Inductor, 100uH, 3.4A</t>
  </si>
  <si>
    <t>ESP32-WROOM-32UE Wi­Fi BLE Module 4MB Flash</t>
  </si>
  <si>
    <t>U2(M)</t>
  </si>
  <si>
    <t>Evelta</t>
  </si>
  <si>
    <t>Extra</t>
  </si>
  <si>
    <t>MOV</t>
  </si>
  <si>
    <t>337-3343</t>
  </si>
  <si>
    <t>MOV-07470K: Varistor, Metal oxide</t>
  </si>
  <si>
    <t>Buck Convertor</t>
  </si>
  <si>
    <t>300-7378</t>
  </si>
  <si>
    <t>TPS56430YFDBT:DC/DC Convertor</t>
  </si>
  <si>
    <t>R136927</t>
  </si>
  <si>
    <t>22.1k Ohm 0805</t>
  </si>
  <si>
    <t>Buck Resistor</t>
  </si>
  <si>
    <t>R135252</t>
  </si>
  <si>
    <t>88.7k Ohm</t>
  </si>
  <si>
    <t>Buck Inductor</t>
  </si>
  <si>
    <t>10uH</t>
  </si>
  <si>
    <t>Buck Capacitor</t>
  </si>
  <si>
    <t>R139414</t>
  </si>
  <si>
    <t>22uF 10V 1206</t>
  </si>
  <si>
    <t>STM32F103C8T6</t>
  </si>
  <si>
    <t>STM32</t>
  </si>
  <si>
    <t>R139426</t>
  </si>
  <si>
    <t>2.2uF 50V 1206</t>
  </si>
  <si>
    <t>NPN Transistor</t>
  </si>
  <si>
    <t>TIP31C</t>
  </si>
  <si>
    <t>1(6)</t>
  </si>
  <si>
    <t>PCB TSSOP</t>
  </si>
  <si>
    <t>1(5)</t>
  </si>
  <si>
    <t>tssop/soic/sop8/dip8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</si>
</sst>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161616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  <xf numFmtId="0" fontId="0" fillId="4" borderId="0" xfId="0" applyFill="1"/>
    <xf numFmtId="0" fontId="0" fillId="0" borderId="0" xfId="0" applyFill="1"/>
    <xf numFmtId="0" fontId="0" fillId="2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obu.in/product/yageo-100-ohm-1-4w-1206-surface-mount-resistor-pack-of-50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robu.in/product/2-2k-ohm-1-4w-1206-surface-mount-chip-resistor-pack-of-100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robu.in/product/2-2k-ohm-1-4w-1206-surface-mount-chip-resistor-pack-of-100/" TargetMode="External"/><Relationship Id="rId2" Type="http://schemas.openxmlformats.org/officeDocument/2006/relationships/hyperlink" Target="https://robu.in/product/usb-connector-jdh-11/?gad_source=1&amp;gclid=Cj0KCQjwqIm_BhDnARIsAKBYcmumFy5m6TO_cTCLwjpYGhqjBNc7uSjS37HW54wt0XxLnTBc_BdyMEAaAgNkEALw_wcB" TargetMode="External"/><Relationship Id="rId1" Type="http://schemas.openxmlformats.org/officeDocument/2006/relationships/hyperlink" Target="https://robu.in/product/ds3231-ic-real-time-clock-integrated-rtc-tcxo-crysta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selection activeCell="L20" sqref="L20"/>
    </sheetView>
  </sheetViews>
  <sheetFormatPr defaultRowHeight="15" x14ac:dyDescent="0.25"/>
  <cols>
    <col min="2" max="2" width="19.28515625" bestFit="1" customWidth="1"/>
    <col min="3" max="3" width="0" hidden="1" customWidth="1"/>
    <col min="4" max="4" width="53.7109375" customWidth="1"/>
    <col min="6" max="6" width="36.85546875" hidden="1" customWidth="1"/>
    <col min="8" max="8" width="10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122</v>
      </c>
      <c r="G1" t="s">
        <v>152</v>
      </c>
      <c r="H1" t="s">
        <v>307</v>
      </c>
      <c r="I1" t="s">
        <v>310</v>
      </c>
      <c r="J1" t="s">
        <v>312</v>
      </c>
      <c r="K1" t="s">
        <v>123</v>
      </c>
      <c r="L1" t="s">
        <v>313</v>
      </c>
    </row>
    <row r="2" spans="1:12" x14ac:dyDescent="0.25">
      <c r="A2" t="s">
        <v>5</v>
      </c>
      <c r="B2" t="s">
        <v>149</v>
      </c>
      <c r="C2" t="s">
        <v>6</v>
      </c>
      <c r="D2" t="s">
        <v>7</v>
      </c>
      <c r="E2">
        <v>1</v>
      </c>
      <c r="F2" t="s">
        <v>293</v>
      </c>
      <c r="G2" t="s">
        <v>153</v>
      </c>
      <c r="L2">
        <f>J2*K2</f>
        <v>0</v>
      </c>
    </row>
    <row r="3" spans="1:12" x14ac:dyDescent="0.25">
      <c r="A3" t="s">
        <v>8</v>
      </c>
      <c r="B3" t="s">
        <v>9</v>
      </c>
      <c r="C3" t="s">
        <v>6</v>
      </c>
      <c r="D3" t="s">
        <v>7</v>
      </c>
      <c r="E3">
        <v>1</v>
      </c>
      <c r="F3" t="s">
        <v>293</v>
      </c>
      <c r="G3" t="s">
        <v>154</v>
      </c>
      <c r="H3" t="s">
        <v>308</v>
      </c>
      <c r="I3" s="6" t="s">
        <v>317</v>
      </c>
      <c r="J3">
        <v>3</v>
      </c>
      <c r="K3">
        <v>20</v>
      </c>
      <c r="L3">
        <f t="shared" ref="L3:L19" si="0">J3*K3</f>
        <v>60</v>
      </c>
    </row>
    <row r="4" spans="1:12" x14ac:dyDescent="0.25">
      <c r="A4" t="s">
        <v>10</v>
      </c>
      <c r="B4" t="s">
        <v>11</v>
      </c>
      <c r="C4" t="s">
        <v>6</v>
      </c>
      <c r="D4" t="s">
        <v>7</v>
      </c>
      <c r="E4">
        <v>2</v>
      </c>
      <c r="F4" t="s">
        <v>293</v>
      </c>
      <c r="G4" t="s">
        <v>153</v>
      </c>
      <c r="L4">
        <f t="shared" si="0"/>
        <v>0</v>
      </c>
    </row>
    <row r="5" spans="1:12" x14ac:dyDescent="0.25">
      <c r="A5" t="s">
        <v>12</v>
      </c>
      <c r="B5" t="s">
        <v>13</v>
      </c>
      <c r="C5" t="s">
        <v>6</v>
      </c>
      <c r="D5" t="s">
        <v>7</v>
      </c>
      <c r="E5">
        <v>1</v>
      </c>
      <c r="F5" t="s">
        <v>293</v>
      </c>
      <c r="G5" t="s">
        <v>154</v>
      </c>
      <c r="H5" t="s">
        <v>308</v>
      </c>
      <c r="I5" t="s">
        <v>316</v>
      </c>
      <c r="J5">
        <v>1.4</v>
      </c>
      <c r="K5">
        <v>20</v>
      </c>
      <c r="L5">
        <f t="shared" si="0"/>
        <v>28</v>
      </c>
    </row>
    <row r="6" spans="1:12" x14ac:dyDescent="0.25">
      <c r="A6" t="s">
        <v>14</v>
      </c>
      <c r="B6" t="s">
        <v>15</v>
      </c>
      <c r="C6" t="s">
        <v>16</v>
      </c>
      <c r="D6" t="s">
        <v>150</v>
      </c>
      <c r="E6">
        <v>1</v>
      </c>
      <c r="F6" t="s">
        <v>294</v>
      </c>
      <c r="G6" t="s">
        <v>153</v>
      </c>
      <c r="L6">
        <f t="shared" si="0"/>
        <v>0</v>
      </c>
    </row>
    <row r="7" spans="1:12" x14ac:dyDescent="0.25">
      <c r="A7" t="s">
        <v>17</v>
      </c>
      <c r="B7" t="s">
        <v>18</v>
      </c>
      <c r="C7" t="s">
        <v>6</v>
      </c>
      <c r="D7" t="s">
        <v>19</v>
      </c>
      <c r="E7">
        <v>1</v>
      </c>
      <c r="F7" t="s">
        <v>295</v>
      </c>
      <c r="G7" t="s">
        <v>153</v>
      </c>
      <c r="L7">
        <f t="shared" si="0"/>
        <v>0</v>
      </c>
    </row>
    <row r="8" spans="1:12" x14ac:dyDescent="0.25">
      <c r="A8" t="s">
        <v>20</v>
      </c>
      <c r="B8" t="s">
        <v>21</v>
      </c>
      <c r="C8" t="s">
        <v>6</v>
      </c>
      <c r="D8" t="s">
        <v>22</v>
      </c>
      <c r="E8">
        <v>2</v>
      </c>
      <c r="F8" t="s">
        <v>296</v>
      </c>
      <c r="G8" t="s">
        <v>153</v>
      </c>
      <c r="L8">
        <f t="shared" si="0"/>
        <v>0</v>
      </c>
    </row>
    <row r="9" spans="1:12" x14ac:dyDescent="0.25">
      <c r="A9" t="s">
        <v>60</v>
      </c>
      <c r="B9" t="s">
        <v>23</v>
      </c>
      <c r="C9" t="s">
        <v>6</v>
      </c>
      <c r="D9" t="s">
        <v>297</v>
      </c>
      <c r="E9">
        <v>1</v>
      </c>
      <c r="F9" t="s">
        <v>298</v>
      </c>
      <c r="G9" t="s">
        <v>154</v>
      </c>
      <c r="H9" t="s">
        <v>308</v>
      </c>
      <c r="L9">
        <f t="shared" si="0"/>
        <v>0</v>
      </c>
    </row>
    <row r="10" spans="1:12" x14ac:dyDescent="0.25">
      <c r="A10" t="s">
        <v>24</v>
      </c>
      <c r="B10" t="s">
        <v>70</v>
      </c>
      <c r="C10" t="s">
        <v>6</v>
      </c>
      <c r="D10" t="s">
        <v>299</v>
      </c>
      <c r="E10">
        <v>1</v>
      </c>
      <c r="F10" t="s">
        <v>300</v>
      </c>
      <c r="G10" t="s">
        <v>153</v>
      </c>
      <c r="L10">
        <f t="shared" si="0"/>
        <v>0</v>
      </c>
    </row>
    <row r="11" spans="1:12" x14ac:dyDescent="0.25">
      <c r="A11" t="s">
        <v>301</v>
      </c>
      <c r="B11" t="s">
        <v>23</v>
      </c>
      <c r="C11" t="s">
        <v>6</v>
      </c>
      <c r="D11" t="s">
        <v>112</v>
      </c>
      <c r="E11">
        <v>3</v>
      </c>
      <c r="F11" t="s">
        <v>298</v>
      </c>
      <c r="G11" t="s">
        <v>153</v>
      </c>
      <c r="L11">
        <f t="shared" si="0"/>
        <v>0</v>
      </c>
    </row>
    <row r="12" spans="1:12" x14ac:dyDescent="0.25">
      <c r="A12" t="s">
        <v>25</v>
      </c>
      <c r="B12" t="s">
        <v>26</v>
      </c>
      <c r="C12" t="s">
        <v>27</v>
      </c>
      <c r="D12" t="s">
        <v>28</v>
      </c>
      <c r="E12">
        <v>1</v>
      </c>
      <c r="F12" t="s">
        <v>302</v>
      </c>
      <c r="G12" t="s">
        <v>153</v>
      </c>
      <c r="L12">
        <f t="shared" si="0"/>
        <v>0</v>
      </c>
    </row>
    <row r="13" spans="1:12" x14ac:dyDescent="0.25">
      <c r="A13" t="s">
        <v>29</v>
      </c>
      <c r="B13" t="s">
        <v>30</v>
      </c>
      <c r="C13" t="s">
        <v>6</v>
      </c>
      <c r="D13" t="s">
        <v>31</v>
      </c>
      <c r="E13">
        <v>1</v>
      </c>
      <c r="F13" t="s">
        <v>303</v>
      </c>
      <c r="G13" t="s">
        <v>154</v>
      </c>
      <c r="H13" t="s">
        <v>308</v>
      </c>
      <c r="I13" s="6" t="s">
        <v>341</v>
      </c>
      <c r="J13">
        <v>0.98</v>
      </c>
      <c r="K13">
        <v>30</v>
      </c>
      <c r="L13">
        <f t="shared" si="0"/>
        <v>29.4</v>
      </c>
    </row>
    <row r="14" spans="1:12" x14ac:dyDescent="0.25">
      <c r="A14" t="s">
        <v>32</v>
      </c>
      <c r="B14" t="s">
        <v>33</v>
      </c>
      <c r="C14" t="s">
        <v>6</v>
      </c>
      <c r="D14" t="s">
        <v>31</v>
      </c>
      <c r="E14">
        <v>1</v>
      </c>
      <c r="F14" t="s">
        <v>303</v>
      </c>
      <c r="G14" t="s">
        <v>154</v>
      </c>
      <c r="H14" t="s">
        <v>308</v>
      </c>
      <c r="I14" t="s">
        <v>311</v>
      </c>
      <c r="J14">
        <v>0.28999999999999998</v>
      </c>
      <c r="K14">
        <v>10</v>
      </c>
      <c r="L14">
        <f t="shared" si="0"/>
        <v>2.9</v>
      </c>
    </row>
    <row r="15" spans="1:12" x14ac:dyDescent="0.25">
      <c r="A15" t="s">
        <v>34</v>
      </c>
      <c r="B15" t="s">
        <v>35</v>
      </c>
      <c r="C15" t="s">
        <v>6</v>
      </c>
      <c r="D15" t="s">
        <v>31</v>
      </c>
      <c r="E15">
        <v>1</v>
      </c>
      <c r="F15" t="s">
        <v>303</v>
      </c>
      <c r="G15" t="s">
        <v>154</v>
      </c>
      <c r="H15" t="s">
        <v>308</v>
      </c>
      <c r="I15" t="s">
        <v>314</v>
      </c>
      <c r="J15">
        <v>0.2</v>
      </c>
      <c r="K15">
        <v>10</v>
      </c>
      <c r="L15">
        <f t="shared" si="0"/>
        <v>2</v>
      </c>
    </row>
    <row r="16" spans="1:12" x14ac:dyDescent="0.25">
      <c r="A16" t="s">
        <v>36</v>
      </c>
      <c r="B16" t="s">
        <v>37</v>
      </c>
      <c r="C16" t="s">
        <v>6</v>
      </c>
      <c r="D16" t="s">
        <v>31</v>
      </c>
      <c r="E16">
        <v>1</v>
      </c>
      <c r="F16" t="s">
        <v>303</v>
      </c>
      <c r="G16" t="s">
        <v>154</v>
      </c>
      <c r="H16" t="s">
        <v>308</v>
      </c>
      <c r="I16" t="s">
        <v>315</v>
      </c>
      <c r="J16">
        <v>0.63</v>
      </c>
      <c r="K16">
        <v>50</v>
      </c>
      <c r="L16">
        <f t="shared" si="0"/>
        <v>31.5</v>
      </c>
    </row>
    <row r="17" spans="1:12" x14ac:dyDescent="0.25">
      <c r="A17" t="s">
        <v>38</v>
      </c>
      <c r="B17" t="s">
        <v>39</v>
      </c>
      <c r="C17" t="s">
        <v>6</v>
      </c>
      <c r="D17" t="s">
        <v>31</v>
      </c>
      <c r="E17">
        <v>1</v>
      </c>
      <c r="F17" t="s">
        <v>303</v>
      </c>
      <c r="G17" t="s">
        <v>153</v>
      </c>
      <c r="L17">
        <f t="shared" si="0"/>
        <v>0</v>
      </c>
    </row>
    <row r="18" spans="1:12" x14ac:dyDescent="0.25">
      <c r="A18" t="s">
        <v>42</v>
      </c>
      <c r="B18" t="s">
        <v>43</v>
      </c>
      <c r="C18" t="s">
        <v>44</v>
      </c>
      <c r="D18" t="s">
        <v>45</v>
      </c>
      <c r="E18">
        <v>1</v>
      </c>
      <c r="F18" t="s">
        <v>304</v>
      </c>
      <c r="G18" t="s">
        <v>154</v>
      </c>
      <c r="H18" t="s">
        <v>309</v>
      </c>
      <c r="I18" t="s">
        <v>319</v>
      </c>
      <c r="J18" s="4">
        <v>309.42</v>
      </c>
      <c r="K18">
        <v>5</v>
      </c>
      <c r="L18">
        <f t="shared" si="0"/>
        <v>1547.1000000000001</v>
      </c>
    </row>
    <row r="19" spans="1:12" x14ac:dyDescent="0.25">
      <c r="A19" t="s">
        <v>91</v>
      </c>
      <c r="B19" t="s">
        <v>305</v>
      </c>
      <c r="C19" t="s">
        <v>305</v>
      </c>
      <c r="D19" t="s">
        <v>306</v>
      </c>
      <c r="E19">
        <v>1</v>
      </c>
      <c r="G19" t="s">
        <v>154</v>
      </c>
      <c r="H19" t="s">
        <v>309</v>
      </c>
      <c r="I19" t="s">
        <v>318</v>
      </c>
      <c r="J19" s="4">
        <v>270.22000000000003</v>
      </c>
      <c r="K19">
        <v>5</v>
      </c>
      <c r="L19">
        <f t="shared" si="0"/>
        <v>1351.1000000000001</v>
      </c>
    </row>
    <row r="20" spans="1:12" x14ac:dyDescent="0.25">
      <c r="K20" t="s">
        <v>313</v>
      </c>
      <c r="L20">
        <f>SUM(L2:L19)</f>
        <v>3052</v>
      </c>
    </row>
  </sheetData>
  <hyperlinks>
    <hyperlink ref="I13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7"/>
  <sheetViews>
    <sheetView tabSelected="1" topLeftCell="A43" workbookViewId="0">
      <selection activeCell="D59" sqref="D59"/>
    </sheetView>
  </sheetViews>
  <sheetFormatPr defaultRowHeight="15" x14ac:dyDescent="0.25"/>
  <cols>
    <col min="2" max="2" width="20.42578125" bestFit="1" customWidth="1"/>
    <col min="3" max="3" width="10.5703125" bestFit="1" customWidth="1"/>
    <col min="4" max="4" width="65.28515625" customWidth="1"/>
  </cols>
  <sheetData>
    <row r="2" spans="1:8" x14ac:dyDescent="0.25">
      <c r="A2" t="s">
        <v>121</v>
      </c>
      <c r="B2" t="s">
        <v>145</v>
      </c>
      <c r="C2" t="s">
        <v>371</v>
      </c>
      <c r="D2" t="s">
        <v>122</v>
      </c>
      <c r="E2" t="s">
        <v>123</v>
      </c>
      <c r="F2" t="s">
        <v>307</v>
      </c>
      <c r="G2" t="s">
        <v>489</v>
      </c>
      <c r="H2" t="s">
        <v>307</v>
      </c>
    </row>
    <row r="3" spans="1:8" x14ac:dyDescent="0.25">
      <c r="A3">
        <v>1</v>
      </c>
      <c r="B3" t="s">
        <v>373</v>
      </c>
      <c r="C3">
        <v>555698</v>
      </c>
      <c r="D3" t="s">
        <v>372</v>
      </c>
      <c r="E3">
        <v>10</v>
      </c>
      <c r="F3" t="s">
        <v>308</v>
      </c>
    </row>
    <row r="4" spans="1:8" x14ac:dyDescent="0.25">
      <c r="A4">
        <v>2</v>
      </c>
      <c r="B4" t="s">
        <v>375</v>
      </c>
      <c r="C4">
        <v>1463237</v>
      </c>
      <c r="D4" t="s">
        <v>374</v>
      </c>
      <c r="E4">
        <v>5</v>
      </c>
      <c r="F4" t="s">
        <v>308</v>
      </c>
    </row>
    <row r="5" spans="1:8" x14ac:dyDescent="0.25">
      <c r="A5">
        <v>3</v>
      </c>
      <c r="C5">
        <v>1463238</v>
      </c>
      <c r="D5" t="s">
        <v>376</v>
      </c>
      <c r="E5" s="8">
        <v>5</v>
      </c>
      <c r="F5" t="s">
        <v>308</v>
      </c>
    </row>
    <row r="6" spans="1:8" x14ac:dyDescent="0.25">
      <c r="A6">
        <v>4</v>
      </c>
      <c r="B6" t="s">
        <v>379</v>
      </c>
      <c r="C6" t="s">
        <v>377</v>
      </c>
      <c r="D6" t="s">
        <v>378</v>
      </c>
      <c r="E6">
        <v>5</v>
      </c>
      <c r="F6" t="s">
        <v>308</v>
      </c>
    </row>
    <row r="7" spans="1:8" x14ac:dyDescent="0.25">
      <c r="A7">
        <v>5</v>
      </c>
      <c r="B7" t="s">
        <v>380</v>
      </c>
      <c r="C7">
        <v>1897412</v>
      </c>
      <c r="D7" t="s">
        <v>381</v>
      </c>
      <c r="E7">
        <v>5</v>
      </c>
      <c r="F7" t="s">
        <v>308</v>
      </c>
    </row>
    <row r="8" spans="1:8" x14ac:dyDescent="0.25">
      <c r="A8">
        <v>6</v>
      </c>
      <c r="B8" t="s">
        <v>382</v>
      </c>
      <c r="C8">
        <v>162054</v>
      </c>
      <c r="D8" t="s">
        <v>291</v>
      </c>
      <c r="E8" s="7">
        <v>3</v>
      </c>
      <c r="F8" t="s">
        <v>308</v>
      </c>
      <c r="G8">
        <v>5</v>
      </c>
      <c r="H8" t="s">
        <v>488</v>
      </c>
    </row>
    <row r="9" spans="1:8" x14ac:dyDescent="0.25">
      <c r="A9">
        <v>7</v>
      </c>
      <c r="B9" t="s">
        <v>390</v>
      </c>
      <c r="C9" t="s">
        <v>383</v>
      </c>
      <c r="D9" t="s">
        <v>384</v>
      </c>
      <c r="E9">
        <v>8</v>
      </c>
      <c r="F9" t="s">
        <v>308</v>
      </c>
    </row>
    <row r="10" spans="1:8" x14ac:dyDescent="0.25">
      <c r="A10">
        <v>8</v>
      </c>
      <c r="B10" t="s">
        <v>385</v>
      </c>
      <c r="C10" t="s">
        <v>386</v>
      </c>
      <c r="D10" t="s">
        <v>387</v>
      </c>
      <c r="E10">
        <v>5</v>
      </c>
      <c r="F10" t="s">
        <v>308</v>
      </c>
    </row>
    <row r="11" spans="1:8" x14ac:dyDescent="0.25">
      <c r="A11">
        <v>9</v>
      </c>
      <c r="B11" t="s">
        <v>388</v>
      </c>
      <c r="C11">
        <v>330192</v>
      </c>
      <c r="D11" t="s">
        <v>389</v>
      </c>
      <c r="E11">
        <v>5</v>
      </c>
      <c r="F11" t="s">
        <v>308</v>
      </c>
    </row>
    <row r="12" spans="1:8" x14ac:dyDescent="0.25">
      <c r="A12">
        <v>10</v>
      </c>
      <c r="B12" t="s">
        <v>391</v>
      </c>
      <c r="C12">
        <v>524297</v>
      </c>
      <c r="D12" t="s">
        <v>408</v>
      </c>
      <c r="E12">
        <v>5</v>
      </c>
      <c r="F12" t="s">
        <v>308</v>
      </c>
    </row>
    <row r="13" spans="1:8" x14ac:dyDescent="0.25">
      <c r="A13">
        <v>11</v>
      </c>
      <c r="B13" t="s">
        <v>392</v>
      </c>
      <c r="C13" t="s">
        <v>393</v>
      </c>
      <c r="D13" t="s">
        <v>394</v>
      </c>
      <c r="E13">
        <v>5</v>
      </c>
      <c r="F13" t="s">
        <v>308</v>
      </c>
    </row>
    <row r="14" spans="1:8" x14ac:dyDescent="0.25">
      <c r="A14">
        <v>12</v>
      </c>
      <c r="B14" t="s">
        <v>395</v>
      </c>
      <c r="C14" t="s">
        <v>396</v>
      </c>
      <c r="D14" t="s">
        <v>397</v>
      </c>
      <c r="E14">
        <v>20</v>
      </c>
      <c r="F14" t="s">
        <v>308</v>
      </c>
    </row>
    <row r="15" spans="1:8" x14ac:dyDescent="0.25">
      <c r="A15">
        <v>13</v>
      </c>
      <c r="B15" t="s">
        <v>398</v>
      </c>
      <c r="C15">
        <v>827897</v>
      </c>
      <c r="D15" t="s">
        <v>399</v>
      </c>
      <c r="E15">
        <v>10</v>
      </c>
      <c r="F15" t="s">
        <v>308</v>
      </c>
    </row>
    <row r="16" spans="1:8" x14ac:dyDescent="0.25">
      <c r="A16">
        <v>14</v>
      </c>
      <c r="B16" t="s">
        <v>403</v>
      </c>
      <c r="C16" t="s">
        <v>400</v>
      </c>
      <c r="D16" t="s">
        <v>401</v>
      </c>
      <c r="E16">
        <v>15</v>
      </c>
      <c r="F16" t="s">
        <v>308</v>
      </c>
    </row>
    <row r="17" spans="1:6" x14ac:dyDescent="0.25">
      <c r="A17">
        <v>15</v>
      </c>
      <c r="B17" t="s">
        <v>402</v>
      </c>
      <c r="C17">
        <v>511693</v>
      </c>
      <c r="D17" t="s">
        <v>404</v>
      </c>
      <c r="E17">
        <v>10</v>
      </c>
      <c r="F17" t="s">
        <v>308</v>
      </c>
    </row>
    <row r="18" spans="1:6" x14ac:dyDescent="0.25">
      <c r="A18">
        <v>16</v>
      </c>
      <c r="B18" t="s">
        <v>405</v>
      </c>
      <c r="C18" t="s">
        <v>406</v>
      </c>
      <c r="D18" t="s">
        <v>407</v>
      </c>
      <c r="E18">
        <v>5</v>
      </c>
      <c r="F18" t="s">
        <v>308</v>
      </c>
    </row>
    <row r="19" spans="1:6" x14ac:dyDescent="0.25">
      <c r="A19">
        <v>17</v>
      </c>
      <c r="B19" t="s">
        <v>411</v>
      </c>
      <c r="C19" t="s">
        <v>410</v>
      </c>
      <c r="D19" t="s">
        <v>409</v>
      </c>
      <c r="E19">
        <v>40</v>
      </c>
      <c r="F19" t="s">
        <v>308</v>
      </c>
    </row>
    <row r="20" spans="1:6" x14ac:dyDescent="0.25">
      <c r="A20">
        <v>18</v>
      </c>
      <c r="B20" t="s">
        <v>414</v>
      </c>
      <c r="C20" t="s">
        <v>412</v>
      </c>
      <c r="D20" t="s">
        <v>413</v>
      </c>
      <c r="E20">
        <v>20</v>
      </c>
      <c r="F20" t="s">
        <v>308</v>
      </c>
    </row>
    <row r="21" spans="1:6" x14ac:dyDescent="0.25">
      <c r="A21">
        <v>19</v>
      </c>
      <c r="B21" t="s">
        <v>417</v>
      </c>
      <c r="C21" t="s">
        <v>415</v>
      </c>
      <c r="D21" t="s">
        <v>416</v>
      </c>
      <c r="E21">
        <v>30</v>
      </c>
      <c r="F21" t="s">
        <v>308</v>
      </c>
    </row>
    <row r="22" spans="1:6" x14ac:dyDescent="0.25">
      <c r="A22">
        <v>20</v>
      </c>
      <c r="B22" s="8" t="s">
        <v>422</v>
      </c>
      <c r="C22" t="s">
        <v>418</v>
      </c>
      <c r="D22" t="s">
        <v>419</v>
      </c>
      <c r="E22">
        <v>20</v>
      </c>
      <c r="F22" t="s">
        <v>308</v>
      </c>
    </row>
    <row r="23" spans="1:6" x14ac:dyDescent="0.25">
      <c r="A23">
        <v>21</v>
      </c>
      <c r="B23" s="8" t="s">
        <v>423</v>
      </c>
      <c r="C23" t="s">
        <v>420</v>
      </c>
      <c r="D23" t="s">
        <v>421</v>
      </c>
      <c r="E23">
        <v>20</v>
      </c>
      <c r="F23" t="s">
        <v>308</v>
      </c>
    </row>
    <row r="24" spans="1:6" x14ac:dyDescent="0.25">
      <c r="A24">
        <v>22</v>
      </c>
      <c r="B24" s="8" t="s">
        <v>426</v>
      </c>
      <c r="C24" t="s">
        <v>424</v>
      </c>
      <c r="D24" t="s">
        <v>425</v>
      </c>
      <c r="E24">
        <v>20</v>
      </c>
      <c r="F24" t="s">
        <v>308</v>
      </c>
    </row>
    <row r="25" spans="1:6" x14ac:dyDescent="0.25">
      <c r="A25">
        <v>23</v>
      </c>
      <c r="B25" s="7" t="s">
        <v>430</v>
      </c>
      <c r="C25">
        <v>872094</v>
      </c>
      <c r="D25" t="s">
        <v>428</v>
      </c>
      <c r="E25">
        <v>15</v>
      </c>
      <c r="F25" t="s">
        <v>308</v>
      </c>
    </row>
    <row r="26" spans="1:6" x14ac:dyDescent="0.25">
      <c r="A26">
        <v>24</v>
      </c>
      <c r="B26" s="8" t="s">
        <v>431</v>
      </c>
      <c r="C26">
        <v>574970</v>
      </c>
      <c r="D26" t="s">
        <v>429</v>
      </c>
      <c r="E26">
        <v>50</v>
      </c>
      <c r="F26" t="s">
        <v>308</v>
      </c>
    </row>
    <row r="27" spans="1:6" x14ac:dyDescent="0.25">
      <c r="A27">
        <v>25</v>
      </c>
      <c r="B27" s="8" t="s">
        <v>433</v>
      </c>
      <c r="C27">
        <v>575040</v>
      </c>
      <c r="D27" t="s">
        <v>432</v>
      </c>
      <c r="E27">
        <v>30</v>
      </c>
      <c r="F27" t="s">
        <v>308</v>
      </c>
    </row>
    <row r="28" spans="1:6" x14ac:dyDescent="0.25">
      <c r="A28">
        <v>26</v>
      </c>
      <c r="B28" s="8" t="s">
        <v>435</v>
      </c>
      <c r="C28">
        <v>574940</v>
      </c>
      <c r="D28" t="s">
        <v>434</v>
      </c>
      <c r="E28">
        <v>50</v>
      </c>
      <c r="F28" t="s">
        <v>308</v>
      </c>
    </row>
    <row r="29" spans="1:6" x14ac:dyDescent="0.25">
      <c r="A29">
        <v>27</v>
      </c>
      <c r="B29" s="8" t="s">
        <v>438</v>
      </c>
      <c r="C29" t="s">
        <v>437</v>
      </c>
      <c r="D29" t="s">
        <v>436</v>
      </c>
      <c r="E29">
        <v>40</v>
      </c>
      <c r="F29" t="s">
        <v>308</v>
      </c>
    </row>
    <row r="30" spans="1:6" x14ac:dyDescent="0.25">
      <c r="A30">
        <v>28</v>
      </c>
      <c r="B30" s="8" t="s">
        <v>441</v>
      </c>
      <c r="C30" t="s">
        <v>439</v>
      </c>
      <c r="D30" t="s">
        <v>440</v>
      </c>
      <c r="E30">
        <v>50</v>
      </c>
      <c r="F30" t="s">
        <v>308</v>
      </c>
    </row>
    <row r="31" spans="1:6" x14ac:dyDescent="0.25">
      <c r="A31">
        <v>29</v>
      </c>
      <c r="B31" s="8" t="s">
        <v>443</v>
      </c>
      <c r="C31" t="s">
        <v>427</v>
      </c>
      <c r="D31" t="s">
        <v>442</v>
      </c>
      <c r="E31">
        <v>20</v>
      </c>
      <c r="F31" t="s">
        <v>308</v>
      </c>
    </row>
    <row r="32" spans="1:6" x14ac:dyDescent="0.25">
      <c r="A32">
        <v>30</v>
      </c>
      <c r="B32" s="8" t="s">
        <v>447</v>
      </c>
      <c r="C32">
        <v>871987</v>
      </c>
      <c r="D32" t="s">
        <v>444</v>
      </c>
      <c r="E32">
        <v>10</v>
      </c>
      <c r="F32" t="s">
        <v>308</v>
      </c>
    </row>
    <row r="33" spans="1:6" x14ac:dyDescent="0.25">
      <c r="A33">
        <v>31</v>
      </c>
      <c r="B33" t="s">
        <v>446</v>
      </c>
      <c r="C33">
        <v>52699</v>
      </c>
      <c r="D33" t="s">
        <v>445</v>
      </c>
      <c r="E33">
        <v>5</v>
      </c>
      <c r="F33" t="s">
        <v>308</v>
      </c>
    </row>
    <row r="34" spans="1:6" x14ac:dyDescent="0.25">
      <c r="A34">
        <v>32</v>
      </c>
      <c r="B34" t="s">
        <v>448</v>
      </c>
      <c r="C34" t="s">
        <v>449</v>
      </c>
      <c r="D34" t="s">
        <v>450</v>
      </c>
      <c r="E34">
        <v>5</v>
      </c>
      <c r="F34" t="s">
        <v>324</v>
      </c>
    </row>
    <row r="35" spans="1:6" x14ac:dyDescent="0.25">
      <c r="A35">
        <v>33</v>
      </c>
      <c r="B35" t="s">
        <v>451</v>
      </c>
      <c r="C35" t="s">
        <v>452</v>
      </c>
      <c r="D35" t="s">
        <v>453</v>
      </c>
      <c r="E35">
        <v>5</v>
      </c>
      <c r="F35" t="s">
        <v>324</v>
      </c>
    </row>
    <row r="36" spans="1:6" x14ac:dyDescent="0.25">
      <c r="A36">
        <v>34</v>
      </c>
      <c r="B36" t="s">
        <v>454</v>
      </c>
      <c r="C36" t="s">
        <v>455</v>
      </c>
      <c r="D36" t="s">
        <v>456</v>
      </c>
      <c r="E36">
        <v>5</v>
      </c>
      <c r="F36" t="s">
        <v>324</v>
      </c>
    </row>
    <row r="37" spans="1:6" x14ac:dyDescent="0.25">
      <c r="A37">
        <v>35</v>
      </c>
      <c r="B37" t="s">
        <v>459</v>
      </c>
      <c r="C37" t="s">
        <v>458</v>
      </c>
      <c r="D37" t="s">
        <v>457</v>
      </c>
      <c r="E37">
        <v>5</v>
      </c>
      <c r="F37" t="s">
        <v>324</v>
      </c>
    </row>
    <row r="38" spans="1:6" x14ac:dyDescent="0.25">
      <c r="A38">
        <v>36</v>
      </c>
      <c r="B38" t="s">
        <v>462</v>
      </c>
      <c r="C38" t="s">
        <v>460</v>
      </c>
      <c r="D38" t="s">
        <v>461</v>
      </c>
      <c r="E38">
        <v>15</v>
      </c>
      <c r="F38" t="s">
        <v>324</v>
      </c>
    </row>
    <row r="39" spans="1:6" x14ac:dyDescent="0.25">
      <c r="A39">
        <v>37</v>
      </c>
      <c r="B39" t="s">
        <v>463</v>
      </c>
      <c r="C39" t="s">
        <v>464</v>
      </c>
      <c r="D39" t="s">
        <v>465</v>
      </c>
      <c r="E39">
        <v>5</v>
      </c>
      <c r="F39" t="s">
        <v>324</v>
      </c>
    </row>
    <row r="40" spans="1:6" x14ac:dyDescent="0.25">
      <c r="A40">
        <v>38</v>
      </c>
      <c r="B40" t="s">
        <v>466</v>
      </c>
      <c r="C40" t="s">
        <v>467</v>
      </c>
      <c r="D40" t="s">
        <v>468</v>
      </c>
      <c r="E40">
        <v>5</v>
      </c>
      <c r="F40" t="s">
        <v>324</v>
      </c>
    </row>
    <row r="41" spans="1:6" x14ac:dyDescent="0.25">
      <c r="A41">
        <v>39</v>
      </c>
      <c r="B41" t="s">
        <v>469</v>
      </c>
      <c r="C41" t="s">
        <v>470</v>
      </c>
      <c r="D41" t="s">
        <v>471</v>
      </c>
      <c r="E41">
        <v>10</v>
      </c>
      <c r="F41" t="s">
        <v>324</v>
      </c>
    </row>
    <row r="42" spans="1:6" x14ac:dyDescent="0.25">
      <c r="A42">
        <v>40</v>
      </c>
      <c r="B42" t="s">
        <v>472</v>
      </c>
      <c r="C42" t="s">
        <v>473</v>
      </c>
      <c r="D42" t="s">
        <v>474</v>
      </c>
      <c r="E42">
        <v>5</v>
      </c>
      <c r="F42" t="s">
        <v>324</v>
      </c>
    </row>
    <row r="43" spans="1:6" x14ac:dyDescent="0.25">
      <c r="A43">
        <v>41</v>
      </c>
      <c r="B43" t="s">
        <v>379</v>
      </c>
      <c r="C43" t="s">
        <v>481</v>
      </c>
      <c r="D43" t="s">
        <v>482</v>
      </c>
      <c r="E43">
        <v>5</v>
      </c>
      <c r="F43" t="s">
        <v>324</v>
      </c>
    </row>
    <row r="44" spans="1:6" x14ac:dyDescent="0.25">
      <c r="A44">
        <v>42</v>
      </c>
      <c r="B44" t="s">
        <v>483</v>
      </c>
      <c r="C44" t="s">
        <v>484</v>
      </c>
      <c r="D44" t="s">
        <v>485</v>
      </c>
      <c r="E44">
        <v>5</v>
      </c>
      <c r="F44" t="s">
        <v>324</v>
      </c>
    </row>
    <row r="45" spans="1:6" x14ac:dyDescent="0.25">
      <c r="A45">
        <v>43</v>
      </c>
      <c r="B45" t="s">
        <v>475</v>
      </c>
      <c r="C45" t="s">
        <v>476</v>
      </c>
      <c r="D45" t="s">
        <v>477</v>
      </c>
      <c r="E45">
        <v>3</v>
      </c>
      <c r="F45" t="s">
        <v>324</v>
      </c>
    </row>
    <row r="46" spans="1:6" x14ac:dyDescent="0.25">
      <c r="A46">
        <v>44</v>
      </c>
      <c r="B46" t="s">
        <v>478</v>
      </c>
      <c r="C46" t="s">
        <v>479</v>
      </c>
      <c r="D46" t="s">
        <v>480</v>
      </c>
      <c r="E46">
        <v>5</v>
      </c>
      <c r="F46" t="s">
        <v>324</v>
      </c>
    </row>
    <row r="47" spans="1:6" x14ac:dyDescent="0.25">
      <c r="A47">
        <v>45</v>
      </c>
      <c r="B47" t="s">
        <v>487</v>
      </c>
      <c r="C47">
        <v>151626</v>
      </c>
      <c r="D47" t="s">
        <v>486</v>
      </c>
      <c r="E47">
        <v>2</v>
      </c>
      <c r="F47" t="s">
        <v>488</v>
      </c>
    </row>
    <row r="48" spans="1:6" x14ac:dyDescent="0.25">
      <c r="B48" t="s">
        <v>490</v>
      </c>
      <c r="C48" t="s">
        <v>491</v>
      </c>
      <c r="D48" t="s">
        <v>492</v>
      </c>
      <c r="E48">
        <v>10</v>
      </c>
      <c r="F48" t="s">
        <v>324</v>
      </c>
    </row>
    <row r="49" spans="2:6" x14ac:dyDescent="0.25">
      <c r="B49" t="s">
        <v>493</v>
      </c>
      <c r="C49" t="s">
        <v>494</v>
      </c>
      <c r="D49" t="s">
        <v>495</v>
      </c>
      <c r="E49">
        <v>10</v>
      </c>
      <c r="F49" t="s">
        <v>324</v>
      </c>
    </row>
    <row r="50" spans="2:6" x14ac:dyDescent="0.25">
      <c r="B50" t="s">
        <v>498</v>
      </c>
      <c r="C50" t="s">
        <v>496</v>
      </c>
      <c r="D50" t="s">
        <v>497</v>
      </c>
      <c r="E50">
        <v>25</v>
      </c>
      <c r="F50" t="s">
        <v>308</v>
      </c>
    </row>
    <row r="51" spans="2:6" x14ac:dyDescent="0.25">
      <c r="B51" t="s">
        <v>498</v>
      </c>
      <c r="C51" t="s">
        <v>499</v>
      </c>
      <c r="D51" t="s">
        <v>500</v>
      </c>
      <c r="E51">
        <v>60</v>
      </c>
      <c r="F51" t="s">
        <v>308</v>
      </c>
    </row>
    <row r="52" spans="2:6" x14ac:dyDescent="0.25">
      <c r="B52" t="s">
        <v>501</v>
      </c>
      <c r="C52">
        <v>518868</v>
      </c>
      <c r="D52" t="s">
        <v>502</v>
      </c>
      <c r="E52">
        <v>5</v>
      </c>
      <c r="F52" t="s">
        <v>308</v>
      </c>
    </row>
    <row r="53" spans="2:6" x14ac:dyDescent="0.25">
      <c r="B53" t="s">
        <v>503</v>
      </c>
      <c r="C53" t="s">
        <v>504</v>
      </c>
      <c r="D53" t="s">
        <v>505</v>
      </c>
      <c r="E53">
        <v>10</v>
      </c>
      <c r="F53" t="s">
        <v>308</v>
      </c>
    </row>
    <row r="54" spans="2:6" x14ac:dyDescent="0.25">
      <c r="B54" t="s">
        <v>507</v>
      </c>
      <c r="C54">
        <v>31258</v>
      </c>
      <c r="D54" t="s">
        <v>506</v>
      </c>
      <c r="E54">
        <v>1</v>
      </c>
      <c r="F54" t="s">
        <v>308</v>
      </c>
    </row>
    <row r="55" spans="2:6" x14ac:dyDescent="0.25">
      <c r="B55" t="s">
        <v>503</v>
      </c>
      <c r="C55" t="s">
        <v>508</v>
      </c>
      <c r="D55" t="s">
        <v>509</v>
      </c>
      <c r="E55">
        <v>10</v>
      </c>
      <c r="F55" t="s">
        <v>308</v>
      </c>
    </row>
    <row r="56" spans="2:6" x14ac:dyDescent="0.25">
      <c r="B56" t="s">
        <v>510</v>
      </c>
      <c r="C56">
        <v>598820</v>
      </c>
      <c r="D56" t="s">
        <v>511</v>
      </c>
      <c r="E56" t="s">
        <v>512</v>
      </c>
      <c r="F56" t="s">
        <v>308</v>
      </c>
    </row>
    <row r="57" spans="2:6" x14ac:dyDescent="0.25">
      <c r="B57" t="s">
        <v>513</v>
      </c>
      <c r="C57">
        <v>1121328</v>
      </c>
      <c r="D57" t="s">
        <v>515</v>
      </c>
      <c r="E57" t="s">
        <v>514</v>
      </c>
      <c r="F57" t="s">
        <v>308</v>
      </c>
    </row>
  </sheetData>
  <hyperlinks>
    <hyperlink ref="D27" r:id="rId1" display="https://robu.in/product/2-2k-ohm-1-4w-1206-surface-mount-chip-resistor-pack-of-100/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selection activeCell="A14" sqref="A14"/>
    </sheetView>
  </sheetViews>
  <sheetFormatPr defaultRowHeight="15" x14ac:dyDescent="0.25"/>
  <cols>
    <col min="3" max="3" width="0" hidden="1" customWidth="1"/>
    <col min="4" max="4" width="50.5703125" customWidth="1"/>
    <col min="5" max="5" width="5.7109375" customWidth="1"/>
    <col min="6" max="6" width="30.42578125" hidden="1" customWidth="1"/>
    <col min="10" max="10" width="10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122</v>
      </c>
      <c r="G1" t="s">
        <v>152</v>
      </c>
      <c r="H1" t="s">
        <v>307</v>
      </c>
      <c r="I1" t="s">
        <v>310</v>
      </c>
      <c r="J1" t="s">
        <v>312</v>
      </c>
      <c r="K1" t="s">
        <v>123</v>
      </c>
      <c r="L1" t="s">
        <v>313</v>
      </c>
    </row>
    <row r="2" spans="1:12" x14ac:dyDescent="0.25">
      <c r="A2" t="s">
        <v>208</v>
      </c>
      <c r="B2" t="s">
        <v>6</v>
      </c>
      <c r="C2" t="s">
        <v>6</v>
      </c>
      <c r="D2" t="s">
        <v>209</v>
      </c>
      <c r="E2">
        <v>1</v>
      </c>
      <c r="F2" t="s">
        <v>356</v>
      </c>
      <c r="G2" t="s">
        <v>154</v>
      </c>
      <c r="H2" t="s">
        <v>308</v>
      </c>
      <c r="I2" t="s">
        <v>362</v>
      </c>
      <c r="J2">
        <v>5</v>
      </c>
      <c r="K2">
        <v>4</v>
      </c>
      <c r="L2">
        <f>J2*K2</f>
        <v>20</v>
      </c>
    </row>
    <row r="3" spans="1:12" x14ac:dyDescent="0.25">
      <c r="A3" t="s">
        <v>258</v>
      </c>
      <c r="B3" t="s">
        <v>210</v>
      </c>
      <c r="C3" t="s">
        <v>6</v>
      </c>
      <c r="D3" t="s">
        <v>7</v>
      </c>
      <c r="E3">
        <v>2</v>
      </c>
      <c r="F3" t="s">
        <v>293</v>
      </c>
      <c r="G3" t="s">
        <v>154</v>
      </c>
      <c r="H3" t="s">
        <v>308</v>
      </c>
      <c r="I3" t="s">
        <v>369</v>
      </c>
      <c r="J3">
        <v>6</v>
      </c>
      <c r="K3">
        <v>30</v>
      </c>
      <c r="L3">
        <f t="shared" ref="L3:L19" si="0">J3*K3</f>
        <v>180</v>
      </c>
    </row>
    <row r="4" spans="1:12" x14ac:dyDescent="0.25">
      <c r="A4" t="s">
        <v>259</v>
      </c>
      <c r="B4" t="s">
        <v>211</v>
      </c>
      <c r="C4" t="s">
        <v>6</v>
      </c>
      <c r="D4" t="s">
        <v>7</v>
      </c>
      <c r="E4">
        <v>3</v>
      </c>
      <c r="F4" t="s">
        <v>293</v>
      </c>
      <c r="G4" t="s">
        <v>153</v>
      </c>
      <c r="L4">
        <f t="shared" si="0"/>
        <v>0</v>
      </c>
    </row>
    <row r="5" spans="1:12" x14ac:dyDescent="0.25">
      <c r="A5" t="s">
        <v>260</v>
      </c>
      <c r="B5" t="s">
        <v>49</v>
      </c>
      <c r="C5" t="s">
        <v>6</v>
      </c>
      <c r="D5" t="s">
        <v>7</v>
      </c>
      <c r="E5">
        <v>2</v>
      </c>
      <c r="F5" t="s">
        <v>293</v>
      </c>
      <c r="G5" t="s">
        <v>153</v>
      </c>
      <c r="L5">
        <f t="shared" si="0"/>
        <v>0</v>
      </c>
    </row>
    <row r="6" spans="1:12" x14ac:dyDescent="0.25">
      <c r="A6" t="s">
        <v>212</v>
      </c>
      <c r="B6" t="s">
        <v>213</v>
      </c>
      <c r="C6" t="s">
        <v>6</v>
      </c>
      <c r="D6" t="s">
        <v>7</v>
      </c>
      <c r="E6">
        <v>1</v>
      </c>
      <c r="F6" t="s">
        <v>293</v>
      </c>
      <c r="G6" t="s">
        <v>154</v>
      </c>
      <c r="H6" t="s">
        <v>308</v>
      </c>
      <c r="I6" t="s">
        <v>258</v>
      </c>
      <c r="L6">
        <f t="shared" si="0"/>
        <v>0</v>
      </c>
    </row>
    <row r="7" spans="1:12" x14ac:dyDescent="0.25">
      <c r="A7" t="s">
        <v>14</v>
      </c>
      <c r="B7" t="s">
        <v>58</v>
      </c>
      <c r="C7" t="s">
        <v>6</v>
      </c>
      <c r="D7" t="s">
        <v>59</v>
      </c>
      <c r="E7">
        <v>1</v>
      </c>
      <c r="F7" t="s">
        <v>357</v>
      </c>
      <c r="G7" t="s">
        <v>154</v>
      </c>
      <c r="H7" t="s">
        <v>308</v>
      </c>
      <c r="I7" t="s">
        <v>364</v>
      </c>
      <c r="L7">
        <f t="shared" si="0"/>
        <v>0</v>
      </c>
    </row>
    <row r="8" spans="1:12" x14ac:dyDescent="0.25">
      <c r="A8" t="s">
        <v>60</v>
      </c>
      <c r="B8" t="s">
        <v>110</v>
      </c>
      <c r="C8" t="s">
        <v>6</v>
      </c>
      <c r="D8" t="s">
        <v>111</v>
      </c>
      <c r="E8">
        <v>1</v>
      </c>
      <c r="F8" t="s">
        <v>358</v>
      </c>
      <c r="G8" t="s">
        <v>153</v>
      </c>
      <c r="L8">
        <f t="shared" si="0"/>
        <v>0</v>
      </c>
    </row>
    <row r="9" spans="1:12" x14ac:dyDescent="0.25">
      <c r="A9" t="s">
        <v>261</v>
      </c>
      <c r="B9" t="s">
        <v>23</v>
      </c>
      <c r="C9" t="s">
        <v>6</v>
      </c>
      <c r="D9" t="s">
        <v>262</v>
      </c>
      <c r="E9">
        <v>3</v>
      </c>
      <c r="F9" t="s">
        <v>298</v>
      </c>
      <c r="G9" t="s">
        <v>154</v>
      </c>
      <c r="H9" t="s">
        <v>308</v>
      </c>
      <c r="I9" t="s">
        <v>218</v>
      </c>
      <c r="L9">
        <f t="shared" si="0"/>
        <v>0</v>
      </c>
    </row>
    <row r="10" spans="1:12" x14ac:dyDescent="0.25">
      <c r="A10" t="s">
        <v>214</v>
      </c>
      <c r="B10" t="s">
        <v>215</v>
      </c>
      <c r="C10" t="s">
        <v>216</v>
      </c>
      <c r="D10" t="s">
        <v>217</v>
      </c>
      <c r="E10">
        <v>1</v>
      </c>
      <c r="F10" t="s">
        <v>359</v>
      </c>
      <c r="G10" t="s">
        <v>154</v>
      </c>
      <c r="H10" t="s">
        <v>324</v>
      </c>
      <c r="I10" t="s">
        <v>365</v>
      </c>
      <c r="J10" s="4">
        <v>151.22</v>
      </c>
      <c r="K10">
        <v>5</v>
      </c>
      <c r="L10">
        <f t="shared" si="0"/>
        <v>756.1</v>
      </c>
    </row>
    <row r="11" spans="1:12" x14ac:dyDescent="0.25">
      <c r="A11" t="s">
        <v>263</v>
      </c>
      <c r="B11" t="s">
        <v>26</v>
      </c>
      <c r="C11" t="s">
        <v>27</v>
      </c>
      <c r="D11" t="s">
        <v>113</v>
      </c>
      <c r="E11">
        <v>2</v>
      </c>
      <c r="F11" t="s">
        <v>302</v>
      </c>
      <c r="G11" t="s">
        <v>154</v>
      </c>
      <c r="H11" t="s">
        <v>324</v>
      </c>
      <c r="I11" t="s">
        <v>366</v>
      </c>
      <c r="J11" s="4">
        <v>5.3733000000000004</v>
      </c>
      <c r="K11">
        <v>15</v>
      </c>
      <c r="L11">
        <f t="shared" si="0"/>
        <v>80.599500000000006</v>
      </c>
    </row>
    <row r="12" spans="1:12" x14ac:dyDescent="0.25">
      <c r="A12" t="s">
        <v>29</v>
      </c>
      <c r="B12" t="s">
        <v>75</v>
      </c>
      <c r="C12" t="s">
        <v>6</v>
      </c>
      <c r="D12" t="s">
        <v>31</v>
      </c>
      <c r="E12">
        <v>1</v>
      </c>
      <c r="F12" t="s">
        <v>303</v>
      </c>
      <c r="G12" t="s">
        <v>153</v>
      </c>
      <c r="L12">
        <f t="shared" si="0"/>
        <v>0</v>
      </c>
    </row>
    <row r="13" spans="1:12" x14ac:dyDescent="0.25">
      <c r="A13" t="s">
        <v>264</v>
      </c>
      <c r="B13" t="s">
        <v>87</v>
      </c>
      <c r="C13" t="s">
        <v>6</v>
      </c>
      <c r="D13" t="s">
        <v>31</v>
      </c>
      <c r="E13">
        <v>4</v>
      </c>
      <c r="F13" t="s">
        <v>303</v>
      </c>
      <c r="G13" t="s">
        <v>153</v>
      </c>
      <c r="L13">
        <f t="shared" si="0"/>
        <v>0</v>
      </c>
    </row>
    <row r="14" spans="1:12" x14ac:dyDescent="0.25">
      <c r="A14" t="s">
        <v>265</v>
      </c>
      <c r="B14" t="s">
        <v>86</v>
      </c>
      <c r="C14" t="s">
        <v>6</v>
      </c>
      <c r="D14" t="s">
        <v>31</v>
      </c>
      <c r="E14">
        <v>2</v>
      </c>
      <c r="F14" t="s">
        <v>303</v>
      </c>
      <c r="G14" t="s">
        <v>344</v>
      </c>
      <c r="L14">
        <f t="shared" si="0"/>
        <v>0</v>
      </c>
    </row>
    <row r="15" spans="1:12" x14ac:dyDescent="0.25">
      <c r="A15" t="s">
        <v>114</v>
      </c>
      <c r="B15" t="s">
        <v>115</v>
      </c>
      <c r="C15" t="s">
        <v>6</v>
      </c>
      <c r="D15" t="s">
        <v>31</v>
      </c>
      <c r="E15">
        <v>1</v>
      </c>
      <c r="F15" t="s">
        <v>303</v>
      </c>
      <c r="G15" t="s">
        <v>153</v>
      </c>
      <c r="L15">
        <f t="shared" si="0"/>
        <v>0</v>
      </c>
    </row>
    <row r="16" spans="1:12" x14ac:dyDescent="0.25">
      <c r="A16" t="s">
        <v>116</v>
      </c>
      <c r="B16" t="s">
        <v>82</v>
      </c>
      <c r="C16" t="s">
        <v>6</v>
      </c>
      <c r="D16" t="s">
        <v>31</v>
      </c>
      <c r="E16">
        <v>1</v>
      </c>
      <c r="F16" t="s">
        <v>303</v>
      </c>
      <c r="G16" t="s">
        <v>154</v>
      </c>
      <c r="H16" t="s">
        <v>308</v>
      </c>
      <c r="I16" t="s">
        <v>368</v>
      </c>
      <c r="J16">
        <v>0.98</v>
      </c>
      <c r="K16">
        <v>10</v>
      </c>
      <c r="L16">
        <f t="shared" si="0"/>
        <v>9.8000000000000007</v>
      </c>
    </row>
    <row r="17" spans="1:12" x14ac:dyDescent="0.25">
      <c r="A17" t="s">
        <v>218</v>
      </c>
      <c r="B17" t="s">
        <v>6</v>
      </c>
      <c r="C17" t="s">
        <v>6</v>
      </c>
      <c r="D17" t="s">
        <v>262</v>
      </c>
      <c r="E17">
        <v>1</v>
      </c>
      <c r="F17" t="s">
        <v>356</v>
      </c>
      <c r="G17" t="s">
        <v>154</v>
      </c>
      <c r="H17" t="s">
        <v>308</v>
      </c>
      <c r="I17" t="s">
        <v>367</v>
      </c>
      <c r="J17">
        <v>12</v>
      </c>
      <c r="K17">
        <v>15</v>
      </c>
      <c r="L17">
        <f t="shared" si="0"/>
        <v>180</v>
      </c>
    </row>
    <row r="18" spans="1:12" x14ac:dyDescent="0.25">
      <c r="A18" t="s">
        <v>41</v>
      </c>
      <c r="B18" t="s">
        <v>97</v>
      </c>
      <c r="C18" t="s">
        <v>98</v>
      </c>
      <c r="D18" t="s">
        <v>99</v>
      </c>
      <c r="E18">
        <v>1</v>
      </c>
      <c r="F18" t="s">
        <v>360</v>
      </c>
      <c r="G18" t="s">
        <v>154</v>
      </c>
      <c r="H18" t="s">
        <v>308</v>
      </c>
      <c r="I18" t="s">
        <v>364</v>
      </c>
      <c r="L18">
        <f t="shared" si="0"/>
        <v>0</v>
      </c>
    </row>
    <row r="19" spans="1:12" x14ac:dyDescent="0.25">
      <c r="A19" t="s">
        <v>42</v>
      </c>
      <c r="B19" t="s">
        <v>117</v>
      </c>
      <c r="C19" t="s">
        <v>118</v>
      </c>
      <c r="D19" t="s">
        <v>119</v>
      </c>
      <c r="E19">
        <v>1</v>
      </c>
      <c r="F19" t="s">
        <v>361</v>
      </c>
      <c r="G19" t="s">
        <v>337</v>
      </c>
      <c r="H19" t="s">
        <v>308</v>
      </c>
      <c r="I19" t="s">
        <v>363</v>
      </c>
      <c r="J19">
        <v>282</v>
      </c>
      <c r="K19">
        <v>5</v>
      </c>
      <c r="L19">
        <f t="shared" si="0"/>
        <v>1410</v>
      </c>
    </row>
    <row r="20" spans="1:12" x14ac:dyDescent="0.25">
      <c r="K20" t="s">
        <v>313</v>
      </c>
      <c r="L20">
        <f>SUM(L2:L19)</f>
        <v>2636.4994999999999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opLeftCell="B16" workbookViewId="0">
      <selection activeCell="K37" sqref="K37"/>
    </sheetView>
  </sheetViews>
  <sheetFormatPr defaultRowHeight="15" x14ac:dyDescent="0.25"/>
  <cols>
    <col min="1" max="1" width="41" bestFit="1" customWidth="1"/>
    <col min="2" max="2" width="18.7109375" bestFit="1" customWidth="1"/>
    <col min="3" max="3" width="73.28515625" hidden="1" customWidth="1"/>
    <col min="4" max="4" width="85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152</v>
      </c>
      <c r="G1" t="s">
        <v>307</v>
      </c>
      <c r="H1" t="s">
        <v>310</v>
      </c>
      <c r="I1" t="s">
        <v>312</v>
      </c>
      <c r="J1" t="s">
        <v>123</v>
      </c>
      <c r="K1" t="s">
        <v>313</v>
      </c>
    </row>
    <row r="2" spans="1:11" x14ac:dyDescent="0.25">
      <c r="A2" t="s">
        <v>46</v>
      </c>
      <c r="B2" t="s">
        <v>47</v>
      </c>
      <c r="C2" t="s">
        <v>6</v>
      </c>
      <c r="D2" t="s">
        <v>48</v>
      </c>
      <c r="E2">
        <v>1</v>
      </c>
      <c r="F2" t="s">
        <v>154</v>
      </c>
      <c r="G2" t="s">
        <v>324</v>
      </c>
      <c r="H2" t="s">
        <v>355</v>
      </c>
      <c r="I2" s="4">
        <v>99.94</v>
      </c>
      <c r="J2">
        <v>5</v>
      </c>
      <c r="K2">
        <f>I2*J2</f>
        <v>499.7</v>
      </c>
    </row>
    <row r="3" spans="1:11" x14ac:dyDescent="0.25">
      <c r="A3" t="s">
        <v>320</v>
      </c>
      <c r="B3" t="s">
        <v>49</v>
      </c>
      <c r="C3" t="s">
        <v>6</v>
      </c>
      <c r="D3" t="s">
        <v>7</v>
      </c>
      <c r="E3">
        <v>12</v>
      </c>
      <c r="F3" t="s">
        <v>153</v>
      </c>
      <c r="K3">
        <f t="shared" ref="K3:K16" si="0">I3*J3</f>
        <v>0</v>
      </c>
    </row>
    <row r="4" spans="1:11" x14ac:dyDescent="0.25">
      <c r="A4" t="s">
        <v>50</v>
      </c>
      <c r="B4" t="s">
        <v>350</v>
      </c>
      <c r="C4" t="s">
        <v>6</v>
      </c>
      <c r="D4" t="s">
        <v>268</v>
      </c>
      <c r="E4">
        <v>1</v>
      </c>
      <c r="F4" t="s">
        <v>154</v>
      </c>
      <c r="G4" t="s">
        <v>308</v>
      </c>
      <c r="H4" t="s">
        <v>370</v>
      </c>
      <c r="I4" s="4">
        <v>7</v>
      </c>
      <c r="J4">
        <v>10</v>
      </c>
      <c r="K4">
        <f t="shared" si="0"/>
        <v>70</v>
      </c>
    </row>
    <row r="5" spans="1:11" x14ac:dyDescent="0.25">
      <c r="A5" t="s">
        <v>12</v>
      </c>
      <c r="B5" t="s">
        <v>269</v>
      </c>
      <c r="C5" t="s">
        <v>6</v>
      </c>
      <c r="D5" t="s">
        <v>270</v>
      </c>
      <c r="E5">
        <v>1</v>
      </c>
      <c r="F5" t="s">
        <v>154</v>
      </c>
      <c r="G5" t="s">
        <v>308</v>
      </c>
      <c r="H5" t="s">
        <v>348</v>
      </c>
      <c r="I5">
        <v>48</v>
      </c>
      <c r="J5">
        <v>5</v>
      </c>
      <c r="K5">
        <f t="shared" si="0"/>
        <v>240</v>
      </c>
    </row>
    <row r="6" spans="1:11" x14ac:dyDescent="0.25">
      <c r="A6" t="s">
        <v>287</v>
      </c>
      <c r="B6" t="s">
        <v>51</v>
      </c>
      <c r="C6" t="s">
        <v>6</v>
      </c>
      <c r="D6" t="s">
        <v>7</v>
      </c>
      <c r="E6">
        <v>2</v>
      </c>
      <c r="F6" t="s">
        <v>154</v>
      </c>
      <c r="G6" t="s">
        <v>308</v>
      </c>
      <c r="H6" t="s">
        <v>354</v>
      </c>
      <c r="I6">
        <v>4</v>
      </c>
      <c r="J6">
        <v>20</v>
      </c>
    </row>
    <row r="7" spans="1:11" x14ac:dyDescent="0.25">
      <c r="A7" t="s">
        <v>52</v>
      </c>
      <c r="B7" t="s">
        <v>53</v>
      </c>
      <c r="C7" t="s">
        <v>6</v>
      </c>
      <c r="D7" t="s">
        <v>7</v>
      </c>
      <c r="E7">
        <v>7</v>
      </c>
      <c r="F7" t="s">
        <v>154</v>
      </c>
      <c r="G7" t="s">
        <v>308</v>
      </c>
      <c r="H7" t="s">
        <v>353</v>
      </c>
      <c r="I7">
        <v>4</v>
      </c>
      <c r="J7">
        <v>40</v>
      </c>
      <c r="K7">
        <f t="shared" si="0"/>
        <v>160</v>
      </c>
    </row>
    <row r="8" spans="1:11" x14ac:dyDescent="0.25">
      <c r="A8" t="s">
        <v>247</v>
      </c>
      <c r="B8" t="s">
        <v>271</v>
      </c>
      <c r="C8" t="s">
        <v>6</v>
      </c>
      <c r="D8" t="s">
        <v>270</v>
      </c>
      <c r="E8">
        <v>1</v>
      </c>
      <c r="F8" t="s">
        <v>154</v>
      </c>
      <c r="G8" t="s">
        <v>308</v>
      </c>
      <c r="H8" t="s">
        <v>349</v>
      </c>
      <c r="I8">
        <v>24</v>
      </c>
      <c r="J8">
        <v>5</v>
      </c>
      <c r="K8">
        <f>I8*J8</f>
        <v>120</v>
      </c>
    </row>
    <row r="9" spans="1:11" x14ac:dyDescent="0.25">
      <c r="A9" t="s">
        <v>248</v>
      </c>
      <c r="B9" t="s">
        <v>351</v>
      </c>
      <c r="C9" t="s">
        <v>6</v>
      </c>
      <c r="D9" t="s">
        <v>272</v>
      </c>
      <c r="E9">
        <v>1</v>
      </c>
      <c r="F9" t="s">
        <v>154</v>
      </c>
      <c r="G9" t="s">
        <v>324</v>
      </c>
      <c r="H9" t="s">
        <v>352</v>
      </c>
      <c r="I9" s="4">
        <v>49.81</v>
      </c>
      <c r="J9">
        <v>5</v>
      </c>
      <c r="K9">
        <f t="shared" si="0"/>
        <v>249.05</v>
      </c>
    </row>
    <row r="10" spans="1:11" x14ac:dyDescent="0.25">
      <c r="A10" t="s">
        <v>54</v>
      </c>
      <c r="B10" t="s">
        <v>55</v>
      </c>
      <c r="C10" t="s">
        <v>6</v>
      </c>
      <c r="D10" t="s">
        <v>56</v>
      </c>
      <c r="E10">
        <v>4</v>
      </c>
      <c r="F10" t="s">
        <v>154</v>
      </c>
      <c r="G10" t="s">
        <v>308</v>
      </c>
      <c r="H10" t="s">
        <v>347</v>
      </c>
      <c r="I10">
        <v>5</v>
      </c>
      <c r="J10">
        <v>20</v>
      </c>
      <c r="K10">
        <f t="shared" si="0"/>
        <v>100</v>
      </c>
    </row>
    <row r="11" spans="1:11" x14ac:dyDescent="0.25">
      <c r="A11" t="s">
        <v>57</v>
      </c>
      <c r="B11" t="s">
        <v>58</v>
      </c>
      <c r="C11" t="s">
        <v>6</v>
      </c>
      <c r="D11" t="s">
        <v>59</v>
      </c>
      <c r="E11">
        <v>1</v>
      </c>
      <c r="F11" t="s">
        <v>154</v>
      </c>
      <c r="G11" t="s">
        <v>308</v>
      </c>
      <c r="H11" t="s">
        <v>346</v>
      </c>
      <c r="I11">
        <v>2</v>
      </c>
      <c r="J11">
        <v>10</v>
      </c>
      <c r="K11">
        <f t="shared" si="0"/>
        <v>20</v>
      </c>
    </row>
    <row r="12" spans="1:11" x14ac:dyDescent="0.25">
      <c r="A12" t="s">
        <v>288</v>
      </c>
      <c r="B12" t="s">
        <v>273</v>
      </c>
      <c r="C12" t="s">
        <v>274</v>
      </c>
      <c r="D12" t="s">
        <v>275</v>
      </c>
      <c r="E12">
        <v>2</v>
      </c>
      <c r="F12" t="s">
        <v>154</v>
      </c>
      <c r="G12" t="s">
        <v>308</v>
      </c>
      <c r="H12" t="s">
        <v>345</v>
      </c>
      <c r="I12">
        <v>25</v>
      </c>
      <c r="J12">
        <v>10</v>
      </c>
      <c r="K12">
        <f t="shared" si="0"/>
        <v>250</v>
      </c>
    </row>
    <row r="13" spans="1:11" x14ac:dyDescent="0.25">
      <c r="A13" t="s">
        <v>60</v>
      </c>
      <c r="B13" t="s">
        <v>61</v>
      </c>
      <c r="C13" t="s">
        <v>6</v>
      </c>
      <c r="D13" t="s">
        <v>62</v>
      </c>
      <c r="E13">
        <v>1</v>
      </c>
      <c r="F13" t="s">
        <v>153</v>
      </c>
      <c r="K13">
        <f t="shared" si="0"/>
        <v>0</v>
      </c>
    </row>
    <row r="14" spans="1:11" x14ac:dyDescent="0.25">
      <c r="A14" t="s">
        <v>24</v>
      </c>
      <c r="B14" t="s">
        <v>63</v>
      </c>
      <c r="C14" t="s">
        <v>6</v>
      </c>
      <c r="D14" t="s">
        <v>64</v>
      </c>
      <c r="E14">
        <v>1</v>
      </c>
      <c r="F14" t="s">
        <v>154</v>
      </c>
      <c r="G14" t="s">
        <v>308</v>
      </c>
      <c r="H14" s="6" t="s">
        <v>322</v>
      </c>
      <c r="I14">
        <v>10</v>
      </c>
      <c r="J14">
        <v>5</v>
      </c>
      <c r="K14">
        <f t="shared" si="0"/>
        <v>50</v>
      </c>
    </row>
    <row r="15" spans="1:11" x14ac:dyDescent="0.25">
      <c r="A15" t="s">
        <v>65</v>
      </c>
      <c r="B15" t="s">
        <v>66</v>
      </c>
      <c r="C15" t="s">
        <v>6</v>
      </c>
      <c r="D15" t="s">
        <v>67</v>
      </c>
      <c r="E15">
        <v>1</v>
      </c>
      <c r="F15" t="s">
        <v>154</v>
      </c>
      <c r="G15" t="s">
        <v>308</v>
      </c>
      <c r="H15" t="s">
        <v>343</v>
      </c>
      <c r="I15">
        <v>92</v>
      </c>
      <c r="J15">
        <v>1</v>
      </c>
      <c r="K15">
        <f t="shared" si="0"/>
        <v>92</v>
      </c>
    </row>
    <row r="16" spans="1:11" x14ac:dyDescent="0.25">
      <c r="A16" t="s">
        <v>68</v>
      </c>
      <c r="B16" t="s">
        <v>23</v>
      </c>
      <c r="C16" t="s">
        <v>6</v>
      </c>
      <c r="D16" t="s">
        <v>62</v>
      </c>
      <c r="E16">
        <v>1</v>
      </c>
      <c r="F16" t="s">
        <v>153</v>
      </c>
      <c r="K16">
        <f t="shared" si="0"/>
        <v>0</v>
      </c>
    </row>
    <row r="17" spans="1:11" x14ac:dyDescent="0.25">
      <c r="A17" t="s">
        <v>69</v>
      </c>
      <c r="B17" t="s">
        <v>70</v>
      </c>
      <c r="C17" t="s">
        <v>6</v>
      </c>
      <c r="D17" t="s">
        <v>71</v>
      </c>
      <c r="E17">
        <v>1</v>
      </c>
      <c r="F17" t="s">
        <v>154</v>
      </c>
      <c r="G17" t="s">
        <v>308</v>
      </c>
      <c r="H17" t="s">
        <v>321</v>
      </c>
      <c r="I17">
        <v>51</v>
      </c>
      <c r="J17">
        <v>5</v>
      </c>
      <c r="K17">
        <f>I17*J17</f>
        <v>255</v>
      </c>
    </row>
    <row r="18" spans="1:11" x14ac:dyDescent="0.25">
      <c r="A18" t="s">
        <v>72</v>
      </c>
      <c r="B18" t="s">
        <v>276</v>
      </c>
      <c r="C18" t="s">
        <v>6</v>
      </c>
      <c r="D18" t="s">
        <v>277</v>
      </c>
      <c r="E18">
        <v>1</v>
      </c>
      <c r="F18" t="s">
        <v>154</v>
      </c>
      <c r="G18" t="s">
        <v>324</v>
      </c>
      <c r="H18" s="4" t="s">
        <v>328</v>
      </c>
      <c r="I18">
        <v>95.28</v>
      </c>
      <c r="J18">
        <v>5</v>
      </c>
      <c r="K18">
        <f t="shared" ref="K18:K36" si="1">I18*J18</f>
        <v>476.4</v>
      </c>
    </row>
    <row r="19" spans="1:11" x14ac:dyDescent="0.25">
      <c r="A19" t="s">
        <v>73</v>
      </c>
      <c r="B19" t="s">
        <v>278</v>
      </c>
      <c r="C19" t="s">
        <v>6</v>
      </c>
      <c r="D19" t="s">
        <v>277</v>
      </c>
      <c r="E19">
        <v>1</v>
      </c>
      <c r="F19" t="s">
        <v>154</v>
      </c>
      <c r="G19" t="s">
        <v>324</v>
      </c>
      <c r="H19" t="s">
        <v>329</v>
      </c>
      <c r="I19" s="4">
        <v>316.63</v>
      </c>
      <c r="J19">
        <v>5</v>
      </c>
      <c r="K19">
        <f t="shared" si="1"/>
        <v>1583.15</v>
      </c>
    </row>
    <row r="20" spans="1:11" x14ac:dyDescent="0.25">
      <c r="A20" t="s">
        <v>289</v>
      </c>
      <c r="B20" t="s">
        <v>40</v>
      </c>
      <c r="C20" t="s">
        <v>6</v>
      </c>
      <c r="D20" t="s">
        <v>31</v>
      </c>
      <c r="E20">
        <v>2</v>
      </c>
      <c r="F20" t="s">
        <v>153</v>
      </c>
      <c r="K20">
        <f t="shared" si="1"/>
        <v>0</v>
      </c>
    </row>
    <row r="21" spans="1:11" x14ac:dyDescent="0.25">
      <c r="A21" t="s">
        <v>74</v>
      </c>
      <c r="B21" t="s">
        <v>75</v>
      </c>
      <c r="C21" t="s">
        <v>6</v>
      </c>
      <c r="D21" t="s">
        <v>31</v>
      </c>
      <c r="E21">
        <v>2</v>
      </c>
      <c r="F21" t="s">
        <v>154</v>
      </c>
      <c r="G21" t="s">
        <v>308</v>
      </c>
      <c r="H21" t="s">
        <v>330</v>
      </c>
      <c r="I21">
        <v>0.65</v>
      </c>
      <c r="J21">
        <v>50</v>
      </c>
      <c r="K21">
        <f t="shared" si="1"/>
        <v>32.5</v>
      </c>
    </row>
    <row r="22" spans="1:11" x14ac:dyDescent="0.25">
      <c r="A22" t="s">
        <v>76</v>
      </c>
      <c r="B22" t="s">
        <v>77</v>
      </c>
      <c r="C22" t="s">
        <v>6</v>
      </c>
      <c r="D22" t="s">
        <v>31</v>
      </c>
      <c r="E22">
        <v>4</v>
      </c>
      <c r="F22" t="s">
        <v>154</v>
      </c>
      <c r="G22" t="s">
        <v>308</v>
      </c>
      <c r="H22" t="s">
        <v>340</v>
      </c>
      <c r="K22">
        <f t="shared" si="1"/>
        <v>0</v>
      </c>
    </row>
    <row r="23" spans="1:11" x14ac:dyDescent="0.25">
      <c r="A23" t="s">
        <v>78</v>
      </c>
      <c r="B23" t="s">
        <v>79</v>
      </c>
      <c r="C23" t="s">
        <v>6</v>
      </c>
      <c r="D23" t="s">
        <v>31</v>
      </c>
      <c r="E23">
        <v>1</v>
      </c>
      <c r="F23" t="s">
        <v>154</v>
      </c>
      <c r="G23" t="s">
        <v>308</v>
      </c>
      <c r="H23" t="s">
        <v>342</v>
      </c>
      <c r="I23">
        <v>0.55000000000000004</v>
      </c>
      <c r="J23">
        <v>10</v>
      </c>
      <c r="K23">
        <f t="shared" si="1"/>
        <v>5.5</v>
      </c>
    </row>
    <row r="24" spans="1:11" x14ac:dyDescent="0.25">
      <c r="A24" t="s">
        <v>80</v>
      </c>
      <c r="B24" t="s">
        <v>81</v>
      </c>
      <c r="C24" t="s">
        <v>6</v>
      </c>
      <c r="D24" t="s">
        <v>31</v>
      </c>
      <c r="E24">
        <v>2</v>
      </c>
      <c r="F24" t="s">
        <v>154</v>
      </c>
      <c r="G24" t="s">
        <v>308</v>
      </c>
      <c r="H24" t="s">
        <v>339</v>
      </c>
      <c r="I24">
        <v>0.83</v>
      </c>
      <c r="J24">
        <v>20</v>
      </c>
      <c r="K24">
        <f t="shared" si="1"/>
        <v>16.599999999999998</v>
      </c>
    </row>
    <row r="25" spans="1:11" x14ac:dyDescent="0.25">
      <c r="A25" t="s">
        <v>251</v>
      </c>
      <c r="B25" t="s">
        <v>87</v>
      </c>
      <c r="C25" t="s">
        <v>6</v>
      </c>
      <c r="D25" t="s">
        <v>31</v>
      </c>
      <c r="E25">
        <v>9</v>
      </c>
      <c r="F25" t="s">
        <v>154</v>
      </c>
      <c r="G25" t="s">
        <v>308</v>
      </c>
      <c r="H25" t="s">
        <v>336</v>
      </c>
      <c r="I25">
        <v>0.69</v>
      </c>
      <c r="J25">
        <v>50</v>
      </c>
      <c r="K25">
        <f t="shared" si="1"/>
        <v>34.5</v>
      </c>
    </row>
    <row r="26" spans="1:11" x14ac:dyDescent="0.25">
      <c r="A26" t="s">
        <v>83</v>
      </c>
      <c r="B26" t="s">
        <v>84</v>
      </c>
      <c r="C26" t="s">
        <v>6</v>
      </c>
      <c r="D26" t="s">
        <v>31</v>
      </c>
      <c r="E26">
        <v>2</v>
      </c>
      <c r="K26">
        <f t="shared" si="1"/>
        <v>0</v>
      </c>
    </row>
    <row r="27" spans="1:11" x14ac:dyDescent="0.25">
      <c r="A27" t="s">
        <v>85</v>
      </c>
      <c r="B27" t="s">
        <v>86</v>
      </c>
      <c r="C27" t="s">
        <v>6</v>
      </c>
      <c r="D27" t="s">
        <v>31</v>
      </c>
      <c r="E27">
        <v>4</v>
      </c>
      <c r="F27" t="s">
        <v>337</v>
      </c>
      <c r="G27" t="s">
        <v>308</v>
      </c>
      <c r="H27" s="6" t="s">
        <v>338</v>
      </c>
      <c r="I27">
        <v>0.65</v>
      </c>
      <c r="J27">
        <v>30</v>
      </c>
      <c r="K27">
        <f t="shared" si="1"/>
        <v>19.5</v>
      </c>
    </row>
    <row r="28" spans="1:11" x14ac:dyDescent="0.25">
      <c r="A28" t="s">
        <v>41</v>
      </c>
      <c r="B28" t="s">
        <v>88</v>
      </c>
      <c r="C28" t="s">
        <v>89</v>
      </c>
      <c r="D28" t="s">
        <v>90</v>
      </c>
      <c r="E28">
        <v>1</v>
      </c>
      <c r="F28" t="s">
        <v>154</v>
      </c>
      <c r="G28" t="s">
        <v>324</v>
      </c>
      <c r="H28" t="s">
        <v>331</v>
      </c>
      <c r="I28" s="4">
        <v>418.52</v>
      </c>
      <c r="J28">
        <v>5</v>
      </c>
      <c r="K28">
        <f t="shared" si="1"/>
        <v>2092.6</v>
      </c>
    </row>
    <row r="29" spans="1:11" x14ac:dyDescent="0.25">
      <c r="A29" t="s">
        <v>42</v>
      </c>
      <c r="B29" t="s">
        <v>279</v>
      </c>
      <c r="C29" t="s">
        <v>280</v>
      </c>
      <c r="D29" t="s">
        <v>281</v>
      </c>
      <c r="E29">
        <v>1</v>
      </c>
      <c r="F29" t="s">
        <v>154</v>
      </c>
      <c r="G29" t="s">
        <v>308</v>
      </c>
      <c r="H29" t="s">
        <v>335</v>
      </c>
      <c r="I29" s="4">
        <v>54</v>
      </c>
      <c r="J29">
        <v>5</v>
      </c>
      <c r="K29">
        <f t="shared" si="1"/>
        <v>270</v>
      </c>
    </row>
    <row r="30" spans="1:11" x14ac:dyDescent="0.25">
      <c r="A30" t="s">
        <v>91</v>
      </c>
      <c r="B30" t="s">
        <v>92</v>
      </c>
      <c r="C30" t="s">
        <v>92</v>
      </c>
      <c r="D30" t="s">
        <v>249</v>
      </c>
      <c r="E30">
        <v>1</v>
      </c>
      <c r="F30" t="s">
        <v>154</v>
      </c>
      <c r="G30" t="s">
        <v>324</v>
      </c>
      <c r="H30" t="s">
        <v>327</v>
      </c>
      <c r="I30" s="4">
        <v>19.559999999999999</v>
      </c>
      <c r="J30">
        <v>5</v>
      </c>
      <c r="K30">
        <f t="shared" si="1"/>
        <v>97.8</v>
      </c>
    </row>
    <row r="31" spans="1:11" x14ac:dyDescent="0.25">
      <c r="A31" t="s">
        <v>93</v>
      </c>
      <c r="B31" t="s">
        <v>94</v>
      </c>
      <c r="C31" t="s">
        <v>95</v>
      </c>
      <c r="D31" t="s">
        <v>45</v>
      </c>
      <c r="E31">
        <v>1</v>
      </c>
      <c r="F31" t="s">
        <v>154</v>
      </c>
      <c r="G31" t="s">
        <v>308</v>
      </c>
      <c r="H31" t="s">
        <v>332</v>
      </c>
      <c r="I31">
        <v>81</v>
      </c>
      <c r="J31">
        <v>5</v>
      </c>
      <c r="K31">
        <f t="shared" si="1"/>
        <v>405</v>
      </c>
    </row>
    <row r="32" spans="1:11" x14ac:dyDescent="0.25">
      <c r="A32" t="s">
        <v>96</v>
      </c>
      <c r="B32" t="s">
        <v>97</v>
      </c>
      <c r="C32" t="s">
        <v>98</v>
      </c>
      <c r="D32" t="s">
        <v>99</v>
      </c>
      <c r="E32">
        <v>1</v>
      </c>
      <c r="F32" t="s">
        <v>154</v>
      </c>
      <c r="G32" t="s">
        <v>308</v>
      </c>
      <c r="H32" t="s">
        <v>333</v>
      </c>
      <c r="I32" s="4">
        <v>40</v>
      </c>
      <c r="J32">
        <v>8</v>
      </c>
      <c r="K32">
        <f t="shared" si="1"/>
        <v>320</v>
      </c>
    </row>
    <row r="33" spans="1:11" x14ac:dyDescent="0.25">
      <c r="A33" t="s">
        <v>100</v>
      </c>
      <c r="B33" t="s">
        <v>101</v>
      </c>
      <c r="C33" t="s">
        <v>102</v>
      </c>
      <c r="D33" t="s">
        <v>103</v>
      </c>
      <c r="E33">
        <v>1</v>
      </c>
      <c r="F33" t="s">
        <v>154</v>
      </c>
      <c r="G33" t="s">
        <v>324</v>
      </c>
      <c r="H33" t="s">
        <v>325</v>
      </c>
      <c r="I33" s="4">
        <v>74.02</v>
      </c>
      <c r="J33">
        <v>5</v>
      </c>
      <c r="K33">
        <f t="shared" si="1"/>
        <v>370.09999999999997</v>
      </c>
    </row>
    <row r="34" spans="1:11" x14ac:dyDescent="0.25">
      <c r="A34" t="s">
        <v>104</v>
      </c>
      <c r="B34" t="s">
        <v>105</v>
      </c>
      <c r="C34" t="s">
        <v>105</v>
      </c>
      <c r="D34" t="s">
        <v>250</v>
      </c>
      <c r="E34">
        <v>1</v>
      </c>
      <c r="F34" t="s">
        <v>154</v>
      </c>
      <c r="G34" t="s">
        <v>324</v>
      </c>
      <c r="H34" t="s">
        <v>326</v>
      </c>
      <c r="I34" s="4">
        <v>195.66</v>
      </c>
      <c r="J34">
        <v>5</v>
      </c>
      <c r="K34">
        <f t="shared" si="1"/>
        <v>978.3</v>
      </c>
    </row>
    <row r="35" spans="1:11" x14ac:dyDescent="0.25">
      <c r="A35" t="s">
        <v>106</v>
      </c>
      <c r="B35" t="s">
        <v>107</v>
      </c>
      <c r="C35" t="s">
        <v>108</v>
      </c>
      <c r="D35" t="s">
        <v>109</v>
      </c>
      <c r="E35">
        <v>1</v>
      </c>
      <c r="F35" t="s">
        <v>154</v>
      </c>
      <c r="G35" t="s">
        <v>308</v>
      </c>
      <c r="H35" s="6" t="s">
        <v>323</v>
      </c>
      <c r="I35">
        <v>175</v>
      </c>
      <c r="J35">
        <v>5</v>
      </c>
      <c r="K35">
        <f t="shared" si="1"/>
        <v>875</v>
      </c>
    </row>
    <row r="36" spans="1:11" x14ac:dyDescent="0.25">
      <c r="A36" t="s">
        <v>282</v>
      </c>
      <c r="B36" t="s">
        <v>283</v>
      </c>
      <c r="C36" t="s">
        <v>284</v>
      </c>
      <c r="D36" t="s">
        <v>285</v>
      </c>
      <c r="E36">
        <v>1</v>
      </c>
      <c r="F36" t="s">
        <v>154</v>
      </c>
      <c r="G36" t="s">
        <v>308</v>
      </c>
      <c r="H36" t="s">
        <v>334</v>
      </c>
      <c r="I36" s="4">
        <v>69</v>
      </c>
      <c r="J36">
        <v>5</v>
      </c>
      <c r="K36">
        <f t="shared" si="1"/>
        <v>345</v>
      </c>
    </row>
    <row r="37" spans="1:11" x14ac:dyDescent="0.25">
      <c r="J37" t="s">
        <v>313</v>
      </c>
      <c r="K37">
        <f>SUM(K2:K36)</f>
        <v>10027.700000000001</v>
      </c>
    </row>
  </sheetData>
  <hyperlinks>
    <hyperlink ref="H35" r:id="rId1"/>
    <hyperlink ref="H14" r:id="rId2"/>
    <hyperlink ref="H27" r:id="rId3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43"/>
  <sheetViews>
    <sheetView topLeftCell="B28" workbookViewId="0">
      <selection activeCell="F38" sqref="F38"/>
    </sheetView>
  </sheetViews>
  <sheetFormatPr defaultRowHeight="15" x14ac:dyDescent="0.25"/>
  <cols>
    <col min="2" max="2" width="6.140625" bestFit="1" customWidth="1"/>
    <col min="3" max="3" width="20.42578125" bestFit="1" customWidth="1"/>
    <col min="4" max="4" width="79" customWidth="1"/>
    <col min="5" max="5" width="50" customWidth="1"/>
  </cols>
  <sheetData>
    <row r="2" spans="2:8" x14ac:dyDescent="0.25">
      <c r="B2" t="s">
        <v>144</v>
      </c>
      <c r="C2" t="s">
        <v>145</v>
      </c>
      <c r="D2" t="s">
        <v>122</v>
      </c>
      <c r="E2" t="s">
        <v>227</v>
      </c>
      <c r="F2" t="s">
        <v>146</v>
      </c>
      <c r="G2" t="s">
        <v>123</v>
      </c>
      <c r="H2" t="s">
        <v>148</v>
      </c>
    </row>
    <row r="3" spans="2:8" x14ac:dyDescent="0.25">
      <c r="B3">
        <v>1</v>
      </c>
      <c r="C3" t="s">
        <v>151</v>
      </c>
      <c r="D3" t="s">
        <v>147</v>
      </c>
      <c r="E3" t="s">
        <v>228</v>
      </c>
      <c r="F3">
        <v>5</v>
      </c>
      <c r="G3">
        <v>10</v>
      </c>
      <c r="H3">
        <f>F3*G3</f>
        <v>50</v>
      </c>
    </row>
    <row r="4" spans="2:8" x14ac:dyDescent="0.25">
      <c r="B4">
        <v>2</v>
      </c>
      <c r="D4" t="s">
        <v>155</v>
      </c>
      <c r="E4" t="s">
        <v>30</v>
      </c>
      <c r="F4">
        <v>0.95</v>
      </c>
      <c r="G4">
        <v>10</v>
      </c>
      <c r="H4">
        <f t="shared" ref="H4:H43" si="0">F4*G4</f>
        <v>9.5</v>
      </c>
    </row>
    <row r="5" spans="2:8" x14ac:dyDescent="0.25">
      <c r="B5">
        <v>3</v>
      </c>
      <c r="D5" t="s">
        <v>156</v>
      </c>
      <c r="E5" t="s">
        <v>35</v>
      </c>
      <c r="F5">
        <v>0.2</v>
      </c>
      <c r="G5">
        <v>10</v>
      </c>
      <c r="H5">
        <f t="shared" si="0"/>
        <v>2</v>
      </c>
    </row>
    <row r="6" spans="2:8" x14ac:dyDescent="0.25">
      <c r="B6">
        <v>4</v>
      </c>
      <c r="D6" t="s">
        <v>157</v>
      </c>
      <c r="E6" t="s">
        <v>229</v>
      </c>
      <c r="F6">
        <v>0.4</v>
      </c>
      <c r="G6">
        <v>10</v>
      </c>
      <c r="H6">
        <f t="shared" si="0"/>
        <v>4</v>
      </c>
    </row>
    <row r="7" spans="2:8" x14ac:dyDescent="0.25">
      <c r="B7">
        <v>5</v>
      </c>
      <c r="D7" t="s">
        <v>158</v>
      </c>
      <c r="E7" t="s">
        <v>230</v>
      </c>
      <c r="F7">
        <v>0.2</v>
      </c>
      <c r="G7">
        <v>10</v>
      </c>
      <c r="H7">
        <f t="shared" si="0"/>
        <v>2</v>
      </c>
    </row>
    <row r="8" spans="2:8" x14ac:dyDescent="0.25">
      <c r="B8">
        <v>6</v>
      </c>
      <c r="D8" t="s">
        <v>159</v>
      </c>
      <c r="E8" t="s">
        <v>231</v>
      </c>
      <c r="F8">
        <v>7</v>
      </c>
      <c r="G8">
        <v>10</v>
      </c>
      <c r="H8">
        <f t="shared" si="0"/>
        <v>70</v>
      </c>
    </row>
    <row r="9" spans="2:8" x14ac:dyDescent="0.25">
      <c r="B9">
        <v>7</v>
      </c>
      <c r="D9" t="s">
        <v>198</v>
      </c>
      <c r="E9" t="s">
        <v>232</v>
      </c>
      <c r="F9">
        <v>4</v>
      </c>
      <c r="G9">
        <v>10</v>
      </c>
      <c r="H9">
        <f t="shared" si="0"/>
        <v>40</v>
      </c>
    </row>
    <row r="10" spans="2:8" x14ac:dyDescent="0.25">
      <c r="B10">
        <v>8</v>
      </c>
      <c r="D10" t="s">
        <v>199</v>
      </c>
      <c r="E10" t="s">
        <v>234</v>
      </c>
      <c r="F10">
        <v>0.69</v>
      </c>
      <c r="G10">
        <v>20</v>
      </c>
      <c r="H10">
        <f t="shared" si="0"/>
        <v>13.799999999999999</v>
      </c>
    </row>
    <row r="11" spans="2:8" x14ac:dyDescent="0.25">
      <c r="B11">
        <v>9</v>
      </c>
      <c r="D11" t="s">
        <v>200</v>
      </c>
      <c r="E11" t="s">
        <v>235</v>
      </c>
      <c r="F11">
        <v>1.4</v>
      </c>
      <c r="G11">
        <v>10</v>
      </c>
      <c r="H11">
        <f t="shared" si="0"/>
        <v>14</v>
      </c>
    </row>
    <row r="12" spans="2:8" x14ac:dyDescent="0.25">
      <c r="B12">
        <v>10</v>
      </c>
      <c r="D12" t="s">
        <v>201</v>
      </c>
      <c r="E12" t="s">
        <v>236</v>
      </c>
      <c r="F12">
        <v>0.49</v>
      </c>
      <c r="G12">
        <v>10</v>
      </c>
      <c r="H12">
        <f t="shared" si="0"/>
        <v>4.9000000000000004</v>
      </c>
    </row>
    <row r="13" spans="2:8" x14ac:dyDescent="0.25">
      <c r="B13">
        <v>11</v>
      </c>
      <c r="D13" t="s">
        <v>202</v>
      </c>
      <c r="E13" t="s">
        <v>233</v>
      </c>
      <c r="F13">
        <v>2</v>
      </c>
      <c r="G13">
        <v>5</v>
      </c>
      <c r="H13">
        <f t="shared" si="0"/>
        <v>10</v>
      </c>
    </row>
    <row r="14" spans="2:8" x14ac:dyDescent="0.25">
      <c r="B14">
        <v>12</v>
      </c>
      <c r="D14" t="s">
        <v>203</v>
      </c>
      <c r="E14" t="s">
        <v>240</v>
      </c>
      <c r="F14">
        <v>51.16</v>
      </c>
      <c r="G14">
        <v>10</v>
      </c>
      <c r="H14">
        <f t="shared" si="0"/>
        <v>511.59999999999997</v>
      </c>
    </row>
    <row r="15" spans="2:8" x14ac:dyDescent="0.25">
      <c r="B15">
        <v>13</v>
      </c>
      <c r="D15" t="s">
        <v>204</v>
      </c>
      <c r="E15" t="s">
        <v>237</v>
      </c>
      <c r="F15">
        <v>73.650000000000006</v>
      </c>
      <c r="G15">
        <v>10</v>
      </c>
      <c r="H15">
        <f t="shared" si="0"/>
        <v>736.5</v>
      </c>
    </row>
    <row r="16" spans="2:8" x14ac:dyDescent="0.25">
      <c r="B16">
        <v>14</v>
      </c>
      <c r="D16" t="s">
        <v>205</v>
      </c>
      <c r="F16">
        <v>151.22</v>
      </c>
      <c r="G16">
        <v>5</v>
      </c>
      <c r="H16">
        <f t="shared" si="0"/>
        <v>756.1</v>
      </c>
    </row>
    <row r="17" spans="2:8" x14ac:dyDescent="0.25">
      <c r="B17">
        <v>15</v>
      </c>
      <c r="D17" t="s">
        <v>206</v>
      </c>
      <c r="F17">
        <v>5.37</v>
      </c>
      <c r="G17">
        <v>10</v>
      </c>
      <c r="H17">
        <f t="shared" si="0"/>
        <v>53.7</v>
      </c>
    </row>
    <row r="18" spans="2:8" x14ac:dyDescent="0.25">
      <c r="B18">
        <v>16</v>
      </c>
      <c r="D18" t="s">
        <v>207</v>
      </c>
      <c r="E18" t="s">
        <v>241</v>
      </c>
      <c r="F18">
        <v>309.42</v>
      </c>
      <c r="G18">
        <v>5</v>
      </c>
      <c r="H18">
        <f t="shared" si="0"/>
        <v>1547.1000000000001</v>
      </c>
    </row>
    <row r="19" spans="2:8" x14ac:dyDescent="0.25">
      <c r="B19">
        <v>18</v>
      </c>
      <c r="D19" t="s">
        <v>219</v>
      </c>
      <c r="F19">
        <v>1035</v>
      </c>
      <c r="G19">
        <v>5</v>
      </c>
      <c r="H19">
        <f t="shared" si="0"/>
        <v>5175</v>
      </c>
    </row>
    <row r="20" spans="2:8" x14ac:dyDescent="0.25">
      <c r="B20">
        <v>19</v>
      </c>
      <c r="D20" t="s">
        <v>220</v>
      </c>
      <c r="F20">
        <v>101.92</v>
      </c>
      <c r="G20">
        <v>5</v>
      </c>
      <c r="H20">
        <f t="shared" si="0"/>
        <v>509.6</v>
      </c>
    </row>
    <row r="21" spans="2:8" x14ac:dyDescent="0.25">
      <c r="B21">
        <v>20</v>
      </c>
      <c r="D21" t="s">
        <v>221</v>
      </c>
      <c r="F21" s="4">
        <v>19.559999999999999</v>
      </c>
      <c r="G21">
        <v>5</v>
      </c>
      <c r="H21">
        <f t="shared" si="0"/>
        <v>97.8</v>
      </c>
    </row>
    <row r="22" spans="2:8" x14ac:dyDescent="0.25">
      <c r="B22">
        <v>21</v>
      </c>
      <c r="D22" t="s">
        <v>222</v>
      </c>
      <c r="E22" t="s">
        <v>242</v>
      </c>
      <c r="F22" s="4">
        <v>195.66</v>
      </c>
      <c r="G22">
        <v>5</v>
      </c>
      <c r="H22">
        <f t="shared" si="0"/>
        <v>978.3</v>
      </c>
    </row>
    <row r="23" spans="2:8" x14ac:dyDescent="0.25">
      <c r="D23" t="s">
        <v>223</v>
      </c>
      <c r="F23">
        <v>74.02</v>
      </c>
      <c r="G23">
        <v>5</v>
      </c>
      <c r="H23">
        <f t="shared" si="0"/>
        <v>370.09999999999997</v>
      </c>
    </row>
    <row r="24" spans="2:8" x14ac:dyDescent="0.25">
      <c r="D24" t="s">
        <v>224</v>
      </c>
      <c r="E24" t="s">
        <v>239</v>
      </c>
      <c r="F24">
        <v>13</v>
      </c>
      <c r="G24">
        <v>20</v>
      </c>
      <c r="H24">
        <f t="shared" si="0"/>
        <v>260</v>
      </c>
    </row>
    <row r="25" spans="2:8" x14ac:dyDescent="0.25">
      <c r="D25" t="s">
        <v>225</v>
      </c>
      <c r="E25" t="s">
        <v>238</v>
      </c>
      <c r="F25">
        <v>14</v>
      </c>
      <c r="G25">
        <v>20</v>
      </c>
      <c r="H25">
        <f t="shared" si="0"/>
        <v>280</v>
      </c>
    </row>
    <row r="26" spans="2:8" x14ac:dyDescent="0.25">
      <c r="F26" s="4"/>
    </row>
    <row r="27" spans="2:8" x14ac:dyDescent="0.25">
      <c r="F27" s="4"/>
    </row>
    <row r="28" spans="2:8" x14ac:dyDescent="0.25">
      <c r="D28" t="s">
        <v>198</v>
      </c>
      <c r="E28" t="s">
        <v>232</v>
      </c>
      <c r="F28">
        <v>4</v>
      </c>
      <c r="G28">
        <v>20</v>
      </c>
      <c r="H28">
        <f t="shared" si="0"/>
        <v>80</v>
      </c>
    </row>
    <row r="29" spans="2:8" x14ac:dyDescent="0.25">
      <c r="D29" t="s">
        <v>226</v>
      </c>
      <c r="F29">
        <v>1</v>
      </c>
      <c r="G29">
        <v>10</v>
      </c>
      <c r="H29">
        <f t="shared" si="0"/>
        <v>10</v>
      </c>
    </row>
    <row r="30" spans="2:8" x14ac:dyDescent="0.25">
      <c r="D30" t="s">
        <v>243</v>
      </c>
      <c r="F30">
        <v>0.2</v>
      </c>
      <c r="G30">
        <v>10</v>
      </c>
      <c r="H30">
        <f t="shared" si="0"/>
        <v>2</v>
      </c>
    </row>
    <row r="31" spans="2:8" x14ac:dyDescent="0.25">
      <c r="D31" t="s">
        <v>244</v>
      </c>
      <c r="F31">
        <v>39</v>
      </c>
      <c r="G31">
        <v>1</v>
      </c>
      <c r="H31">
        <f t="shared" si="0"/>
        <v>39</v>
      </c>
    </row>
    <row r="32" spans="2:8" x14ac:dyDescent="0.25">
      <c r="D32" t="s">
        <v>245</v>
      </c>
      <c r="F32" s="4">
        <v>63.89</v>
      </c>
      <c r="G32">
        <v>10</v>
      </c>
      <c r="H32">
        <f t="shared" si="0"/>
        <v>638.9</v>
      </c>
    </row>
    <row r="33" spans="4:8" ht="30" x14ac:dyDescent="0.25">
      <c r="D33" s="5" t="s">
        <v>246</v>
      </c>
      <c r="F33" s="4">
        <v>51.96</v>
      </c>
      <c r="G33">
        <v>10</v>
      </c>
      <c r="H33">
        <f t="shared" si="0"/>
        <v>519.6</v>
      </c>
    </row>
    <row r="34" spans="4:8" x14ac:dyDescent="0.25">
      <c r="D34" s="5" t="s">
        <v>252</v>
      </c>
      <c r="F34">
        <v>16</v>
      </c>
      <c r="G34">
        <v>5</v>
      </c>
      <c r="H34">
        <f t="shared" si="0"/>
        <v>80</v>
      </c>
    </row>
    <row r="35" spans="4:8" x14ac:dyDescent="0.25">
      <c r="D35" s="5" t="s">
        <v>253</v>
      </c>
      <c r="E35" t="s">
        <v>254</v>
      </c>
      <c r="F35">
        <v>0.65</v>
      </c>
      <c r="G35">
        <v>20</v>
      </c>
      <c r="H35">
        <f t="shared" si="0"/>
        <v>13</v>
      </c>
    </row>
    <row r="36" spans="4:8" x14ac:dyDescent="0.25">
      <c r="D36" s="5" t="s">
        <v>155</v>
      </c>
      <c r="E36" t="s">
        <v>255</v>
      </c>
      <c r="F36">
        <v>0.98</v>
      </c>
      <c r="G36">
        <v>20</v>
      </c>
      <c r="H36">
        <f t="shared" si="0"/>
        <v>19.600000000000001</v>
      </c>
    </row>
    <row r="37" spans="4:8" ht="30" x14ac:dyDescent="0.25">
      <c r="D37" s="5" t="s">
        <v>256</v>
      </c>
      <c r="E37" t="s">
        <v>257</v>
      </c>
      <c r="F37">
        <v>0.83</v>
      </c>
      <c r="G37">
        <v>10</v>
      </c>
      <c r="H37">
        <f t="shared" si="0"/>
        <v>8.2999999999999989</v>
      </c>
    </row>
    <row r="38" spans="4:8" x14ac:dyDescent="0.25">
      <c r="D38" s="5" t="s">
        <v>266</v>
      </c>
      <c r="F38">
        <v>54</v>
      </c>
      <c r="G38">
        <v>10</v>
      </c>
      <c r="H38">
        <f t="shared" si="0"/>
        <v>540</v>
      </c>
    </row>
    <row r="39" spans="4:8" x14ac:dyDescent="0.25">
      <c r="D39" s="5" t="s">
        <v>267</v>
      </c>
      <c r="F39">
        <v>316.63</v>
      </c>
      <c r="G39">
        <v>5</v>
      </c>
      <c r="H39">
        <f t="shared" si="0"/>
        <v>1583.15</v>
      </c>
    </row>
    <row r="40" spans="4:8" ht="30" x14ac:dyDescent="0.25">
      <c r="D40" s="5" t="s">
        <v>286</v>
      </c>
      <c r="F40" s="4">
        <v>270.22000000000003</v>
      </c>
      <c r="G40">
        <v>5</v>
      </c>
      <c r="H40">
        <f t="shared" si="0"/>
        <v>1351.1000000000001</v>
      </c>
    </row>
    <row r="41" spans="4:8" x14ac:dyDescent="0.25">
      <c r="D41" s="5" t="s">
        <v>290</v>
      </c>
      <c r="F41" s="4">
        <v>95.28</v>
      </c>
      <c r="G41">
        <v>5</v>
      </c>
      <c r="H41">
        <f t="shared" si="0"/>
        <v>476.4</v>
      </c>
    </row>
    <row r="42" spans="4:8" x14ac:dyDescent="0.25">
      <c r="D42" s="5" t="s">
        <v>291</v>
      </c>
      <c r="F42">
        <v>69</v>
      </c>
      <c r="G42">
        <v>5</v>
      </c>
      <c r="H42">
        <f t="shared" si="0"/>
        <v>345</v>
      </c>
    </row>
    <row r="43" spans="4:8" x14ac:dyDescent="0.25">
      <c r="D43" s="5" t="s">
        <v>292</v>
      </c>
      <c r="F43">
        <v>282</v>
      </c>
      <c r="G43">
        <v>5</v>
      </c>
      <c r="H43">
        <f t="shared" si="0"/>
        <v>1410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4"/>
  <sheetViews>
    <sheetView topLeftCell="A4" workbookViewId="0">
      <selection activeCell="D13" sqref="D13"/>
    </sheetView>
  </sheetViews>
  <sheetFormatPr defaultRowHeight="15" x14ac:dyDescent="0.25"/>
  <cols>
    <col min="3" max="3" width="95.42578125" bestFit="1" customWidth="1"/>
    <col min="4" max="4" width="8.7109375" bestFit="1" customWidth="1"/>
  </cols>
  <sheetData>
    <row r="2" spans="2:4" x14ac:dyDescent="0.25">
      <c r="B2" s="9" t="s">
        <v>120</v>
      </c>
      <c r="C2" s="9"/>
      <c r="D2" s="9"/>
    </row>
    <row r="3" spans="2:4" x14ac:dyDescent="0.25">
      <c r="B3" s="9"/>
      <c r="C3" s="9"/>
      <c r="D3" s="9"/>
    </row>
    <row r="4" spans="2:4" x14ac:dyDescent="0.25">
      <c r="B4" s="1" t="s">
        <v>121</v>
      </c>
      <c r="C4" s="1" t="s">
        <v>122</v>
      </c>
      <c r="D4" s="1" t="s">
        <v>123</v>
      </c>
    </row>
    <row r="5" spans="2:4" x14ac:dyDescent="0.25">
      <c r="B5" s="2">
        <v>1</v>
      </c>
      <c r="C5" s="2" t="s">
        <v>124</v>
      </c>
      <c r="D5" s="2">
        <v>10</v>
      </c>
    </row>
    <row r="6" spans="2:4" x14ac:dyDescent="0.25">
      <c r="B6" s="2">
        <v>2</v>
      </c>
      <c r="C6" s="2" t="s">
        <v>125</v>
      </c>
      <c r="D6" s="2">
        <v>8</v>
      </c>
    </row>
    <row r="7" spans="2:4" x14ac:dyDescent="0.25">
      <c r="B7" s="2">
        <v>3</v>
      </c>
      <c r="C7" s="2" t="s">
        <v>126</v>
      </c>
      <c r="D7" s="2">
        <v>8</v>
      </c>
    </row>
    <row r="8" spans="2:4" x14ac:dyDescent="0.25">
      <c r="B8" s="2">
        <v>4</v>
      </c>
      <c r="C8" s="2" t="s">
        <v>127</v>
      </c>
      <c r="D8" s="2">
        <v>9</v>
      </c>
    </row>
    <row r="9" spans="2:4" x14ac:dyDescent="0.25">
      <c r="B9" s="2">
        <v>5</v>
      </c>
      <c r="C9" s="2" t="s">
        <v>128</v>
      </c>
      <c r="D9" s="2">
        <v>48</v>
      </c>
    </row>
    <row r="10" spans="2:4" x14ac:dyDescent="0.25">
      <c r="B10" s="2">
        <v>6</v>
      </c>
      <c r="C10" s="2" t="s">
        <v>129</v>
      </c>
      <c r="D10" s="2">
        <v>50</v>
      </c>
    </row>
    <row r="11" spans="2:4" x14ac:dyDescent="0.25">
      <c r="B11" s="2">
        <v>7</v>
      </c>
      <c r="C11" s="2" t="s">
        <v>130</v>
      </c>
      <c r="D11" s="2">
        <v>50</v>
      </c>
    </row>
    <row r="12" spans="2:4" x14ac:dyDescent="0.25">
      <c r="B12" s="2">
        <v>8</v>
      </c>
      <c r="C12" s="2" t="s">
        <v>131</v>
      </c>
      <c r="D12" s="2">
        <v>50</v>
      </c>
    </row>
    <row r="13" spans="2:4" x14ac:dyDescent="0.25">
      <c r="B13" s="2">
        <v>9</v>
      </c>
      <c r="C13" s="2" t="s">
        <v>132</v>
      </c>
      <c r="D13" s="2">
        <v>50</v>
      </c>
    </row>
    <row r="14" spans="2:4" x14ac:dyDescent="0.25">
      <c r="B14" s="2">
        <v>10</v>
      </c>
      <c r="C14" s="2" t="s">
        <v>133</v>
      </c>
      <c r="D14" s="2">
        <v>6</v>
      </c>
    </row>
    <row r="15" spans="2:4" x14ac:dyDescent="0.25">
      <c r="B15" s="2">
        <v>11</v>
      </c>
      <c r="C15" s="2" t="s">
        <v>134</v>
      </c>
      <c r="D15" s="2">
        <v>6</v>
      </c>
    </row>
    <row r="16" spans="2:4" x14ac:dyDescent="0.25">
      <c r="B16" s="2">
        <v>12</v>
      </c>
      <c r="C16" s="2" t="s">
        <v>135</v>
      </c>
      <c r="D16" s="2">
        <v>6</v>
      </c>
    </row>
    <row r="17" spans="2:4" x14ac:dyDescent="0.25">
      <c r="B17" s="2">
        <v>13</v>
      </c>
      <c r="C17" s="2" t="s">
        <v>136</v>
      </c>
      <c r="D17" s="2">
        <v>8</v>
      </c>
    </row>
    <row r="18" spans="2:4" x14ac:dyDescent="0.25">
      <c r="B18" s="2">
        <v>14</v>
      </c>
      <c r="C18" s="2" t="s">
        <v>137</v>
      </c>
      <c r="D18" s="2">
        <v>11</v>
      </c>
    </row>
    <row r="19" spans="2:4" x14ac:dyDescent="0.25">
      <c r="B19" s="2">
        <v>15</v>
      </c>
      <c r="C19" s="2" t="s">
        <v>138</v>
      </c>
      <c r="D19" s="2">
        <v>10</v>
      </c>
    </row>
    <row r="20" spans="2:4" x14ac:dyDescent="0.25">
      <c r="B20" s="2">
        <v>16</v>
      </c>
      <c r="C20" s="2" t="s">
        <v>139</v>
      </c>
      <c r="D20" s="2">
        <v>5</v>
      </c>
    </row>
    <row r="21" spans="2:4" x14ac:dyDescent="0.25">
      <c r="B21" s="2">
        <v>17</v>
      </c>
      <c r="C21" s="2" t="s">
        <v>140</v>
      </c>
      <c r="D21" s="2">
        <v>9</v>
      </c>
    </row>
    <row r="22" spans="2:4" x14ac:dyDescent="0.25">
      <c r="B22" s="2">
        <v>18</v>
      </c>
      <c r="C22" s="2" t="s">
        <v>141</v>
      </c>
      <c r="D22" s="2">
        <v>11</v>
      </c>
    </row>
    <row r="23" spans="2:4" x14ac:dyDescent="0.25">
      <c r="B23" s="2">
        <v>19</v>
      </c>
      <c r="C23" s="2" t="s">
        <v>142</v>
      </c>
      <c r="D23" s="2">
        <v>10</v>
      </c>
    </row>
    <row r="24" spans="2:4" x14ac:dyDescent="0.25">
      <c r="B24" s="2">
        <v>20</v>
      </c>
      <c r="C24" s="2" t="s">
        <v>143</v>
      </c>
      <c r="D24" s="2">
        <v>8</v>
      </c>
    </row>
  </sheetData>
  <mergeCells count="1">
    <mergeCell ref="B2:D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9"/>
  <sheetViews>
    <sheetView workbookViewId="0">
      <selection activeCell="E17" sqref="E17"/>
    </sheetView>
  </sheetViews>
  <sheetFormatPr defaultRowHeight="15" x14ac:dyDescent="0.25"/>
  <sheetData>
    <row r="2" spans="1:4" x14ac:dyDescent="0.25">
      <c r="A2" s="3" t="s">
        <v>163</v>
      </c>
      <c r="B2" s="3" t="s">
        <v>160</v>
      </c>
      <c r="C2" s="3" t="s">
        <v>161</v>
      </c>
      <c r="D2" s="3" t="s">
        <v>162</v>
      </c>
    </row>
    <row r="3" spans="1:4" x14ac:dyDescent="0.25">
      <c r="A3" s="2">
        <v>1</v>
      </c>
      <c r="B3" s="2">
        <v>37</v>
      </c>
      <c r="C3" s="2" t="s">
        <v>197</v>
      </c>
      <c r="D3" s="2" t="s">
        <v>164</v>
      </c>
    </row>
    <row r="4" spans="1:4" x14ac:dyDescent="0.25">
      <c r="A4" s="2">
        <v>2</v>
      </c>
      <c r="B4" s="2">
        <v>31</v>
      </c>
      <c r="C4" s="2" t="s">
        <v>166</v>
      </c>
      <c r="D4" s="2" t="s">
        <v>165</v>
      </c>
    </row>
    <row r="5" spans="1:4" x14ac:dyDescent="0.25">
      <c r="A5" s="2">
        <v>3</v>
      </c>
      <c r="B5" s="2">
        <v>30</v>
      </c>
      <c r="C5" s="2" t="s">
        <v>167</v>
      </c>
      <c r="D5" s="2" t="s">
        <v>168</v>
      </c>
    </row>
    <row r="6" spans="1:4" x14ac:dyDescent="0.25">
      <c r="A6" s="2">
        <v>4</v>
      </c>
      <c r="B6" s="2">
        <v>29</v>
      </c>
      <c r="C6" s="2" t="s">
        <v>169</v>
      </c>
      <c r="D6" s="2" t="s">
        <v>170</v>
      </c>
    </row>
    <row r="7" spans="1:4" x14ac:dyDescent="0.25">
      <c r="A7" s="2">
        <v>5</v>
      </c>
      <c r="B7" s="2">
        <v>10</v>
      </c>
      <c r="C7" s="2" t="s">
        <v>171</v>
      </c>
      <c r="D7" s="2" t="s">
        <v>173</v>
      </c>
    </row>
    <row r="8" spans="1:4" x14ac:dyDescent="0.25">
      <c r="A8" s="2">
        <v>6</v>
      </c>
      <c r="B8" s="2">
        <v>11</v>
      </c>
      <c r="C8" s="2" t="s">
        <v>172</v>
      </c>
      <c r="D8" s="2" t="s">
        <v>174</v>
      </c>
    </row>
    <row r="9" spans="1:4" x14ac:dyDescent="0.25">
      <c r="A9" s="2">
        <v>7</v>
      </c>
      <c r="B9" s="2">
        <v>35</v>
      </c>
      <c r="C9" s="2" t="s">
        <v>183</v>
      </c>
      <c r="D9" s="2" t="s">
        <v>185</v>
      </c>
    </row>
    <row r="10" spans="1:4" x14ac:dyDescent="0.25">
      <c r="A10" s="2">
        <v>8</v>
      </c>
      <c r="B10" s="2">
        <v>34</v>
      </c>
      <c r="C10" s="2" t="s">
        <v>184</v>
      </c>
      <c r="D10" s="2" t="s">
        <v>186</v>
      </c>
    </row>
    <row r="11" spans="1:4" x14ac:dyDescent="0.25">
      <c r="A11" s="2">
        <v>9</v>
      </c>
      <c r="B11" s="2">
        <v>8</v>
      </c>
      <c r="C11" s="2" t="s">
        <v>175</v>
      </c>
      <c r="D11" s="2" t="s">
        <v>181</v>
      </c>
    </row>
    <row r="12" spans="1:4" x14ac:dyDescent="0.25">
      <c r="A12" s="2">
        <v>10</v>
      </c>
      <c r="B12" s="2">
        <v>9</v>
      </c>
      <c r="C12" s="2" t="s">
        <v>176</v>
      </c>
      <c r="D12" s="2" t="s">
        <v>182</v>
      </c>
    </row>
    <row r="13" spans="1:4" x14ac:dyDescent="0.25">
      <c r="A13" s="2">
        <v>11</v>
      </c>
      <c r="B13" s="2">
        <v>6</v>
      </c>
      <c r="C13" s="2" t="s">
        <v>177</v>
      </c>
      <c r="D13" s="2" t="s">
        <v>179</v>
      </c>
    </row>
    <row r="14" spans="1:4" x14ac:dyDescent="0.25">
      <c r="A14" s="2">
        <v>12</v>
      </c>
      <c r="B14" s="2">
        <v>7</v>
      </c>
      <c r="C14" s="2" t="s">
        <v>178</v>
      </c>
      <c r="D14" s="2" t="s">
        <v>180</v>
      </c>
    </row>
    <row r="15" spans="1:4" x14ac:dyDescent="0.25">
      <c r="A15" s="2">
        <v>13</v>
      </c>
      <c r="B15" s="2">
        <v>25</v>
      </c>
      <c r="C15" s="2" t="s">
        <v>196</v>
      </c>
      <c r="D15" s="2" t="s">
        <v>187</v>
      </c>
    </row>
    <row r="16" spans="1:4" x14ac:dyDescent="0.25">
      <c r="A16" s="2">
        <v>14</v>
      </c>
      <c r="B16" s="2">
        <v>14</v>
      </c>
      <c r="C16" s="2" t="s">
        <v>188</v>
      </c>
      <c r="D16" s="2" t="s">
        <v>189</v>
      </c>
    </row>
    <row r="17" spans="1:4" x14ac:dyDescent="0.25">
      <c r="A17" s="2">
        <v>15</v>
      </c>
      <c r="B17" s="2">
        <v>27</v>
      </c>
      <c r="C17" s="2" t="s">
        <v>190</v>
      </c>
      <c r="D17" s="2" t="s">
        <v>192</v>
      </c>
    </row>
    <row r="18" spans="1:4" x14ac:dyDescent="0.25">
      <c r="A18" s="2">
        <v>16</v>
      </c>
      <c r="B18" s="2">
        <v>28</v>
      </c>
      <c r="C18" s="2" t="s">
        <v>191</v>
      </c>
      <c r="D18" s="2" t="s">
        <v>193</v>
      </c>
    </row>
    <row r="19" spans="1:4" x14ac:dyDescent="0.25">
      <c r="A19" s="2">
        <v>17</v>
      </c>
      <c r="B19" s="2">
        <v>36</v>
      </c>
      <c r="C19" s="2" t="s">
        <v>194</v>
      </c>
      <c r="D19" s="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Current Transmitter</vt:lpstr>
      <vt:lpstr>Sheet1</vt:lpstr>
      <vt:lpstr>Microcontroller</vt:lpstr>
      <vt:lpstr>Gateway</vt:lpstr>
      <vt:lpstr>Order List</vt:lpstr>
      <vt:lpstr>OLD</vt:lpstr>
      <vt:lpstr>Pinout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2025-04-25T10:54:24Z</dcterms:modified>
</cp:coreProperties>
</file>