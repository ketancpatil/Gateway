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Purchase 1" sheetId="4" r:id="rId1"/>
    <sheet name="Purchase 2" sheetId="3" r:id="rId2"/>
    <sheet name="Gateway" sheetId="1" r:id="rId3"/>
    <sheet name="Sim" sheetId="2" r:id="rId4"/>
    <sheet name="Summary" sheetId="5" r:id="rId5"/>
  </sheets>
  <calcPr calcId="152511"/>
</workbook>
</file>

<file path=xl/calcChain.xml><?xml version="1.0" encoding="utf-8"?>
<calcChain xmlns="http://schemas.openxmlformats.org/spreadsheetml/2006/main">
  <c r="C7" i="5" l="1"/>
  <c r="C3" i="5"/>
  <c r="C6" i="5"/>
  <c r="C4" i="5"/>
  <c r="Q60" i="4"/>
  <c r="Q51" i="3"/>
  <c r="Q11" i="3" l="1"/>
  <c r="Q7" i="3"/>
  <c r="Q6" i="3"/>
  <c r="Q8" i="3"/>
  <c r="Q9" i="3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" i="3"/>
  <c r="Q6" i="4" l="1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5" i="4"/>
</calcChain>
</file>

<file path=xl/sharedStrings.xml><?xml version="1.0" encoding="utf-8"?>
<sst xmlns="http://schemas.openxmlformats.org/spreadsheetml/2006/main" count="1327" uniqueCount="545">
  <si>
    <t>Reference</t>
  </si>
  <si>
    <t>Value</t>
  </si>
  <si>
    <t>Datasheet</t>
  </si>
  <si>
    <t>Footprint</t>
  </si>
  <si>
    <t>Qty</t>
  </si>
  <si>
    <t>DNP</t>
  </si>
  <si>
    <t>Description</t>
  </si>
  <si>
    <t>BT1</t>
  </si>
  <si>
    <t>~</t>
  </si>
  <si>
    <t>100nF</t>
  </si>
  <si>
    <t>Unpolarized capacitor</t>
  </si>
  <si>
    <t>Capacitor_SMD:C_0805_2012Metric_Pad1.18x1.45mm_HandSolder</t>
  </si>
  <si>
    <t>C4</t>
  </si>
  <si>
    <t>100V 0.1uF</t>
  </si>
  <si>
    <t>Capacitor_THT:C_Rect_L7.0mm_W2.5mm_P5.00mm</t>
  </si>
  <si>
    <t>C5</t>
  </si>
  <si>
    <t>470uF 50V</t>
  </si>
  <si>
    <t>Capacitor_THT:CP_Radial_D10.0mm_P5.00mm</t>
  </si>
  <si>
    <t>Polarized capacitor</t>
  </si>
  <si>
    <t>C7,C27</t>
  </si>
  <si>
    <t>4.7uF</t>
  </si>
  <si>
    <t>C8</t>
  </si>
  <si>
    <t>C9</t>
  </si>
  <si>
    <t>0.22uF</t>
  </si>
  <si>
    <t>Resistor_SMD:R_0805_2012Metric_Pad1.20x1.40mm_HandSolder</t>
  </si>
  <si>
    <t>C10</t>
  </si>
  <si>
    <t>100V 1uF</t>
  </si>
  <si>
    <t>Capacitor_THT:C_Rect_L7.2mm_W4.5mm_P5.00mm_FKS2_FKP2_MKS2_MKP2</t>
  </si>
  <si>
    <t>C13,C14,C15,C21,C22,C23,C24</t>
  </si>
  <si>
    <t>10uF</t>
  </si>
  <si>
    <t>C19</t>
  </si>
  <si>
    <t>C20</t>
  </si>
  <si>
    <t>100pF</t>
  </si>
  <si>
    <t>D1,D2,D3,D4</t>
  </si>
  <si>
    <t>D_Zener</t>
  </si>
  <si>
    <t>Diode_SMD:D_MicroMELF_Handsoldering</t>
  </si>
  <si>
    <t>Zener diode</t>
  </si>
  <si>
    <t>D5</t>
  </si>
  <si>
    <t>LED</t>
  </si>
  <si>
    <t>Light emitting diode</t>
  </si>
  <si>
    <t>D6,D11,D12</t>
  </si>
  <si>
    <t>SS34</t>
  </si>
  <si>
    <t>https://www.vishay.com/docs/88751/ss32.pdf</t>
  </si>
  <si>
    <t>Diode_SMD:D_SMA</t>
  </si>
  <si>
    <t>40V 3A Schottky Diode, SMA</t>
  </si>
  <si>
    <t>D7,D8,D9</t>
  </si>
  <si>
    <t>SMAJ6.5CA</t>
  </si>
  <si>
    <t>https://www.littelfuse.com/media?resourcetype=datasheets&amp;itemid=75e32973-b177-4ee3-a0ff-cedaf1abdb93&amp;filename=smaj-datasheet</t>
  </si>
  <si>
    <t>400W bidirectional Transient Voltage Suppressor, 6.5Vr, SMA(DO-214AC)</t>
  </si>
  <si>
    <t>D10</t>
  </si>
  <si>
    <t>PTVS26VZ1USK</t>
  </si>
  <si>
    <t>https://assets.nexperia.com/documents/data-sheet/PTVS26VZ1USK.pdf</t>
  </si>
  <si>
    <t>26V, 1850W TVS unidirectional diode, DSN1608-2</t>
  </si>
  <si>
    <t>D13</t>
  </si>
  <si>
    <t>Q_SCR_AGK</t>
  </si>
  <si>
    <t>Package_TO_SOT_SMD:SOT-23-3</t>
  </si>
  <si>
    <t>Silicon controlled rectifier, anode/gate/cathode</t>
  </si>
  <si>
    <t>D14</t>
  </si>
  <si>
    <t>1N4007</t>
  </si>
  <si>
    <t>http://www.vishay.com/docs/88503/1n4001.pdf</t>
  </si>
  <si>
    <t>Diode_SMD:D_SMA_Handsoldering</t>
  </si>
  <si>
    <t>1000V 1A General Purpose Rectifier Diode, DO-41</t>
  </si>
  <si>
    <t>J1</t>
  </si>
  <si>
    <t>24V Input</t>
  </si>
  <si>
    <t>TerminalBlock_Phoenix:TerminalBlock_Phoenix_MKDS-3-2-5.08_1x02_P5.08mm_Horizontal</t>
  </si>
  <si>
    <t>Generic connector, single row, 01x02, script generated</t>
  </si>
  <si>
    <t>J2</t>
  </si>
  <si>
    <t>USB_B</t>
  </si>
  <si>
    <t>Connector_USB:USB_B_OST_USB-B1HSxx_Horizontal</t>
  </si>
  <si>
    <t>USB Type B connector</t>
  </si>
  <si>
    <t>J3</t>
  </si>
  <si>
    <t>Conn_01x15_Socket</t>
  </si>
  <si>
    <t>Connector_PinSocket_2.54mm:PinSocket_1x15_P2.54mm_Vertical</t>
  </si>
  <si>
    <t>Generic connector, single row, 01x15, script generated</t>
  </si>
  <si>
    <t>J5</t>
  </si>
  <si>
    <t>Conn_01x05_Pin</t>
  </si>
  <si>
    <t>TerminalBlock_Phoenix:TerminalBlock_Phoenix_MKDS-3-5-5.08_1x05_P5.08mm_Horizontal</t>
  </si>
  <si>
    <t>Generic connector, single row, 01x05, script generated</t>
  </si>
  <si>
    <t>J6</t>
  </si>
  <si>
    <t>Conn_01x03_Pin</t>
  </si>
  <si>
    <t>TerminalBlock_Phoenix:TerminalBlock_Phoenix_MKDS-3-3-5.08_1x03_P5.08mm_Horizontal</t>
  </si>
  <si>
    <t>Generic connector, single row, 01x03, script generated</t>
  </si>
  <si>
    <t>L1</t>
  </si>
  <si>
    <t>12uH</t>
  </si>
  <si>
    <t>Inductor_SMD:L_Vishay_IHLP-5050</t>
  </si>
  <si>
    <t>Inductor with ferrite core</t>
  </si>
  <si>
    <t>L2</t>
  </si>
  <si>
    <t>10uH</t>
  </si>
  <si>
    <t>Inductor</t>
  </si>
  <si>
    <t>Q1</t>
  </si>
  <si>
    <t>FDMS86255</t>
  </si>
  <si>
    <t>https://www.onsemi.com/pub/Collateral/FDMS86255-D.pdf</t>
  </si>
  <si>
    <t>Package_TO_SOT_SMD:TDSON-8-1</t>
  </si>
  <si>
    <t>10A Id, 150V Vds, N-Channel Shielded Gate PowerTrench MOSFET, 12.4mOhm Ron, 63nC Qgmax, -55 to 150 Â°C, 5x6mm SON8</t>
  </si>
  <si>
    <t>0 Ohm</t>
  </si>
  <si>
    <t>Resistor</t>
  </si>
  <si>
    <t>R5,R37,R41,R42</t>
  </si>
  <si>
    <t>R6</t>
  </si>
  <si>
    <t>R7,R20</t>
  </si>
  <si>
    <t>R8</t>
  </si>
  <si>
    <t>R9,R17</t>
  </si>
  <si>
    <t>100 Ohm</t>
  </si>
  <si>
    <t>R10</t>
  </si>
  <si>
    <t>10k Ohm</t>
  </si>
  <si>
    <t>R18</t>
  </si>
  <si>
    <t>R19</t>
  </si>
  <si>
    <t>1k Ohm</t>
  </si>
  <si>
    <t>R32,R33</t>
  </si>
  <si>
    <t>R36</t>
  </si>
  <si>
    <t>R38</t>
  </si>
  <si>
    <t>R40</t>
  </si>
  <si>
    <t>RV1</t>
  </si>
  <si>
    <t>40V</t>
  </si>
  <si>
    <t>Varistor:RV_Disc_D9mm_W3.9mm_P5mm</t>
  </si>
  <si>
    <t>Voltage dependent resistor</t>
  </si>
  <si>
    <t>T1</t>
  </si>
  <si>
    <t>WE-FB_EP7_SCH1</t>
  </si>
  <si>
    <t>WE-FB_EP7_SCH1:WE-FB_EP7_P11.68</t>
  </si>
  <si>
    <t>U1</t>
  </si>
  <si>
    <t>FT232RL</t>
  </si>
  <si>
    <t>https://www.ftdichip.com/Support/Documents/DataSheets/ICs/DS_FT232R.pdf</t>
  </si>
  <si>
    <t>Package_SO:SSOP-28_5.3x10.2mm_P0.65mm</t>
  </si>
  <si>
    <t>USB to Serial Interface, SSOP-28</t>
  </si>
  <si>
    <t>U3</t>
  </si>
  <si>
    <t>LM324N</t>
  </si>
  <si>
    <t>Package_SO:SOIC-14_3.9x8.7mm_P1.27mm</t>
  </si>
  <si>
    <t>U4</t>
  </si>
  <si>
    <t>MAX485E</t>
  </si>
  <si>
    <t>https://datasheets.maximintegrated.com/en/ds/MAX1487E-MAX491E.pdf</t>
  </si>
  <si>
    <t>Package_SO:SOIC-8_3.9x4.9mm_P1.27mm</t>
  </si>
  <si>
    <t>Half duplex RS-485/RS-422, 2.5 Mbps, Â±15kV electro-static discharge (ESD) protection, no slew-rate, no low-power shutdown, with receiver/driver enable, 32 receiver drive capability, DIP-8 and SOIC-8</t>
  </si>
  <si>
    <t>U5</t>
  </si>
  <si>
    <t>AMS1117-3.3</t>
  </si>
  <si>
    <t>http://www.advanced-monolithic.com/pdf/ds1117.pdf</t>
  </si>
  <si>
    <t>Package_TO_SOT_SMD:SOT-223-3_TabPin2</t>
  </si>
  <si>
    <t>1A Low Dropout regulator, positive, 3.3V fixed output, SOT-223</t>
  </si>
  <si>
    <t>U6</t>
  </si>
  <si>
    <t>TXS0104EPW</t>
  </si>
  <si>
    <t>www.ti.com/lit/ds/symlink/txs0104e.pdf</t>
  </si>
  <si>
    <t>Package_SO:TSSOP-14_4.4x5mm_P0.65mm</t>
  </si>
  <si>
    <t>Bidirectional  level-shifting voltage translator, TSSOP-14</t>
  </si>
  <si>
    <t>U7</t>
  </si>
  <si>
    <t>TCMT4600</t>
  </si>
  <si>
    <t>Package_SO:SOP-16_4.55x10.3mm_P1.27mm</t>
  </si>
  <si>
    <t>U8</t>
  </si>
  <si>
    <t>DS3231M</t>
  </si>
  <si>
    <t>http://datasheets.maximintegrated.com/en/ds/DS3231.pdf</t>
  </si>
  <si>
    <t>Package_SO:SOIC-16W_7.5x10.3mm_P1.27mm</t>
  </si>
  <si>
    <t>Extremely Accurate I2C-Integrated RTC/TCXO/Crystal SOIC-16</t>
  </si>
  <si>
    <t>U9</t>
  </si>
  <si>
    <t>ADuM1300xRW</t>
  </si>
  <si>
    <t>https://www.analog.com/media/en/technical-documentation/data-sheets/adum1300_1301.pdf</t>
  </si>
  <si>
    <t>Three Channel Digital Isolator, 10Mbps, SOICW-16</t>
  </si>
  <si>
    <t>U10</t>
  </si>
  <si>
    <t>UCC28742DBVR</t>
  </si>
  <si>
    <t>https://www.ti.com/lit/gpn/ucc28742</t>
  </si>
  <si>
    <t>DBV0006A_N</t>
  </si>
  <si>
    <t>U11</t>
  </si>
  <si>
    <t>TLP293</t>
  </si>
  <si>
    <t>https://toshiba.semicon-storage.com/info/TLP293_datasheet_en_20191129.pdf?did=14419&amp;prodName=TLP293</t>
  </si>
  <si>
    <t>Package_SO:SOIC-4_4.55x2.6mm_P1.27mm</t>
  </si>
  <si>
    <t>DC Optocoupler, Vce 80V, CTR 50-100%, SOP4</t>
  </si>
  <si>
    <t>3V</t>
  </si>
  <si>
    <t>Connector_PinHeader_2.54mm:PinHeader_1x02_P2.54mm_Vertical</t>
  </si>
  <si>
    <t>C1,C3</t>
  </si>
  <si>
    <t>470uF</t>
  </si>
  <si>
    <t>Capacitor_Tantalum_SMD:CP_EIA-7260-15_AVX-R_Pad2.68x6.30mm_HandSolder</t>
  </si>
  <si>
    <t>C2,C4,C5,C7,C15,C17,C18,C19,C20,C21,C22,C23,C24,C25,C26,C34,C37,C40,C41,C44,C45</t>
  </si>
  <si>
    <t>1uF</t>
  </si>
  <si>
    <t>C8,C9,C10,C11</t>
  </si>
  <si>
    <t>20pF</t>
  </si>
  <si>
    <t>C13</t>
  </si>
  <si>
    <t>22nF</t>
  </si>
  <si>
    <t>C14,C39</t>
  </si>
  <si>
    <t>C27,C28,C29,C30,C31</t>
  </si>
  <si>
    <t>22pF</t>
  </si>
  <si>
    <t>C32</t>
  </si>
  <si>
    <t>10pF</t>
  </si>
  <si>
    <t>C33</t>
  </si>
  <si>
    <t>33pF</t>
  </si>
  <si>
    <t>C36</t>
  </si>
  <si>
    <t>330uF</t>
  </si>
  <si>
    <t>Capacitor_Tantalum_SMD:CP_EIA-6032-15_Kemet-U</t>
  </si>
  <si>
    <t>C42</t>
  </si>
  <si>
    <t>2.2uF</t>
  </si>
  <si>
    <t>D1,D5,D6,D8</t>
  </si>
  <si>
    <t>Diode_SMD:D_0805_2012Metric_Pad1.15x1.40mm_HandSolder</t>
  </si>
  <si>
    <t>D2</t>
  </si>
  <si>
    <t>ESDA6V1-5SC6</t>
  </si>
  <si>
    <t>www.st.com/resource/en/datasheet/esda6v1-5sc6.pdf</t>
  </si>
  <si>
    <t>Package_TO_SOT_SMD:SOT-23-6</t>
  </si>
  <si>
    <t>D3</t>
  </si>
  <si>
    <t>BAT54C</t>
  </si>
  <si>
    <t>http://www.diodes.com/_files/datasheets/ds11005.pdf</t>
  </si>
  <si>
    <t>Package_TO_SOT_SMD:SOT-23</t>
  </si>
  <si>
    <t>D4</t>
  </si>
  <si>
    <t>ESD131-B1-W0201</t>
  </si>
  <si>
    <t>https://www.infineon.com/dgdl/Infineon-ESD131-B1-W0201-DataSheet-v02_00-EN.pdf?fileId=5546d4625cc9456a015ce94850964889</t>
  </si>
  <si>
    <t>Diode_SMD:Nexperia_DSN0603-2_0.6x0.3mm_P0.4mm</t>
  </si>
  <si>
    <t>D7</t>
  </si>
  <si>
    <t>SMAJ5.0CA</t>
  </si>
  <si>
    <t>FB1</t>
  </si>
  <si>
    <t>FerriteBead</t>
  </si>
  <si>
    <t>Fuse:Fuse_1206_3216Metric_Pad1.42x1.75mm_HandSolder</t>
  </si>
  <si>
    <t>Connector_PinHeader_2.54mm:PinHeader_1x15_P2.54mm_Vertical</t>
  </si>
  <si>
    <t>JAE_SIM_Card_SF72S006</t>
  </si>
  <si>
    <t>https://www.jae.com/direct/topics/topics_file_download/topics_id=68892&amp;ext_no=06&amp;index=0&amp;_lang=en&amp;v=202003111511468456809</t>
  </si>
  <si>
    <t>Connector_JAE:JAE_SIM_Card_SF72S006</t>
  </si>
  <si>
    <t>Micro_SD_Card_Det_Hirose_DM3AT</t>
  </si>
  <si>
    <t>https://www.hirose.com/product/en/download_file/key_name/DM3/category/Catalog/doc_file_id/49662/?file_category_id=4&amp;item_id=195&amp;is_series=1</t>
  </si>
  <si>
    <t>Connector_Card:microSD_HC_Hirose_DM3AT-SF-PEJM5</t>
  </si>
  <si>
    <t>Conn_01x04_Pin</t>
  </si>
  <si>
    <t>Connector_PinSocket_2.54mm:PinSocket_1x04_P2.54mm_Vertical</t>
  </si>
  <si>
    <t>J7</t>
  </si>
  <si>
    <t>Conn_Coaxial</t>
  </si>
  <si>
    <t>Connector_Coaxial:U.FL_Molex_MCRF_73412-0110_Vertical</t>
  </si>
  <si>
    <t>Q1,Q2,Q3,Q4</t>
  </si>
  <si>
    <t>BC848</t>
  </si>
  <si>
    <t>http://www.infineon.com/dgdl/Infineon-BC847SERIES_BC848SERIES_BC849SERIES_BC850SERIES-DS-v01_01-en.pdf?fileId=db3a304314dca389011541d4630a1657</t>
  </si>
  <si>
    <t>Q5</t>
  </si>
  <si>
    <t>NPN</t>
  </si>
  <si>
    <t>https://ngspice.sourceforge.io/docs/ngspice-html-manual/manual.xhtml#cha_BJTs</t>
  </si>
  <si>
    <t>R1,R8,R16,R18,R25</t>
  </si>
  <si>
    <t>4.7k Ohm</t>
  </si>
  <si>
    <t>R2,R3</t>
  </si>
  <si>
    <t>R5</t>
  </si>
  <si>
    <t>1M Ohm</t>
  </si>
  <si>
    <t>R7,R11,R17,R19,R26</t>
  </si>
  <si>
    <t>47k Ohm</t>
  </si>
  <si>
    <t>R9,R10,R12,R13</t>
  </si>
  <si>
    <t>22 Ohm</t>
  </si>
  <si>
    <t>R14,R15,R28,R31,R32</t>
  </si>
  <si>
    <t>R20,R21,R27</t>
  </si>
  <si>
    <t>330 Ohm</t>
  </si>
  <si>
    <t>R22</t>
  </si>
  <si>
    <t>100k</t>
  </si>
  <si>
    <t>R23,R30</t>
  </si>
  <si>
    <t>47k</t>
  </si>
  <si>
    <t>R24</t>
  </si>
  <si>
    <t>R29</t>
  </si>
  <si>
    <t>4.7k</t>
  </si>
  <si>
    <t>SW_Push</t>
  </si>
  <si>
    <t>Button_Switch_SMD:SW_SPST_B3U-1000P</t>
  </si>
  <si>
    <t>U2</t>
  </si>
  <si>
    <t>EC200UCNAA-N05-SGNSA</t>
  </si>
  <si>
    <t>EC200UCNAA-N05-SGNSA:XCVR_EC200UCNAA-N05-SGNSA</t>
  </si>
  <si>
    <t>MIC29302AWD</t>
  </si>
  <si>
    <t>https://ww1.microchip.com/downloads/aemDocuments/documents/OTH/ProductDocuments/DataSheets/20005897B.pdf</t>
  </si>
  <si>
    <t>Package_TO_SOT_SMD:TO-252-5_TabPin3</t>
  </si>
  <si>
    <t>RT9193-18GB</t>
  </si>
  <si>
    <t>RT9193_18GB:SOT-23-5_RIT</t>
  </si>
  <si>
    <t>STM32F411CEUx</t>
  </si>
  <si>
    <t>https://www.st.com/resource/en/datasheet/stm32f411ce.pdf</t>
  </si>
  <si>
    <t>Package_DFN_QFN:QFN-48-1EP_7x7mm_P0.5mm_EP5.6x5.6mm</t>
  </si>
  <si>
    <t>Y1</t>
  </si>
  <si>
    <t>25MHz</t>
  </si>
  <si>
    <t>Crystal:Crystal_SMD_SeikoEpson_FA238V-4Pin_3.2x2.5mm</t>
  </si>
  <si>
    <t>Y2</t>
  </si>
  <si>
    <t>32.768KHz</t>
  </si>
  <si>
    <t>SAMPLE BILL OF MATERIAL 2 ROBU</t>
  </si>
  <si>
    <t>Sr No</t>
  </si>
  <si>
    <t>Quantity</t>
  </si>
  <si>
    <t>PART TYPE</t>
  </si>
  <si>
    <t>PCB Footprint</t>
  </si>
  <si>
    <t>MPN</t>
  </si>
  <si>
    <t>Manufacture Number</t>
  </si>
  <si>
    <t>SKU Number</t>
  </si>
  <si>
    <t>Robu Name</t>
  </si>
  <si>
    <t>Required Quantity</t>
  </si>
  <si>
    <t>Do Not Populate</t>
  </si>
  <si>
    <t>SAMPLE BILL OF MATERIAL 1 robu</t>
  </si>
  <si>
    <t>C6,C12,C16,C35</t>
  </si>
  <si>
    <t>SW1,SW3</t>
  </si>
  <si>
    <t>CAP MLCC</t>
  </si>
  <si>
    <t>KEMET</t>
  </si>
  <si>
    <t>MMK5104J100J01L15.0CBULK</t>
  </si>
  <si>
    <t>LED_SMD:LED_0805_2012Metric_Pad1.15x1.40mm_HandSolder</t>
  </si>
  <si>
    <t>J4</t>
  </si>
  <si>
    <t>S8411-45R</t>
  </si>
  <si>
    <t>S8411-45R:HARWIN_S8411-45R</t>
  </si>
  <si>
    <t>R13,R14,R15,R16</t>
  </si>
  <si>
    <t>680uF 16V</t>
  </si>
  <si>
    <t>1000uF 16V</t>
  </si>
  <si>
    <t>R1,R2,R39</t>
  </si>
  <si>
    <t>R3,R4,R23,R24,R25,R26,R31,R34,R35</t>
  </si>
  <si>
    <t>200k Ohm</t>
  </si>
  <si>
    <t>R6,R27,R28,R29,R30</t>
  </si>
  <si>
    <t>10 Ohm</t>
  </si>
  <si>
    <t>78.7k Ohm</t>
  </si>
  <si>
    <t>2.2k Ohm</t>
  </si>
  <si>
    <t>R11,R12,R21,R22</t>
  </si>
  <si>
    <t>33k Ohm</t>
  </si>
  <si>
    <t>27k Ohm</t>
  </si>
  <si>
    <t>0.56 Ohm</t>
  </si>
  <si>
    <t>75 Ohm</t>
  </si>
  <si>
    <t>20 Ohm</t>
  </si>
  <si>
    <t>4.22k Ohm</t>
  </si>
  <si>
    <t>Harwin</t>
  </si>
  <si>
    <t>VJ0805H104KXXAT</t>
  </si>
  <si>
    <t>Vishay / Vitramon</t>
  </si>
  <si>
    <t>R153217</t>
  </si>
  <si>
    <t>C1,C2,C3,C6,C11,C12,C16,C17,C26</t>
  </si>
  <si>
    <t>C18,C28,C29,C30,C31</t>
  </si>
  <si>
    <t>100nF 50V</t>
  </si>
  <si>
    <t>TCC0805X7R104M500DT-CCTC-SMT ceramic capacitors 0805 X7R</t>
  </si>
  <si>
    <t>AC0805KRX7R7BB104</t>
  </si>
  <si>
    <t>YAGEO</t>
  </si>
  <si>
    <t>Unit Cost</t>
  </si>
  <si>
    <t>Cost</t>
  </si>
  <si>
    <t>Order Website</t>
  </si>
  <si>
    <t>Robu</t>
  </si>
  <si>
    <t>Elements 14 Number</t>
  </si>
  <si>
    <t>Elements 14 Name</t>
  </si>
  <si>
    <t>CL10B104KO8NNNC</t>
  </si>
  <si>
    <t>SMD Multilayer Ceramic Capacitor, 0.1 µF, 16 V, 0603 [1608 Metric], ± 10%, X7R</t>
  </si>
  <si>
    <t>CAP Polyster</t>
  </si>
  <si>
    <t>ECWF2104JAB</t>
  </si>
  <si>
    <t>General Purpose Film Capacitor, Metallized PP, Radial Box - 2 Pin, 0.1 µF</t>
  </si>
  <si>
    <t>MAL215051471E3</t>
  </si>
  <si>
    <t>Vishay</t>
  </si>
  <si>
    <t>Electrolytic CAP</t>
  </si>
  <si>
    <t>SMD LED</t>
  </si>
  <si>
    <t>Schottky Diode</t>
  </si>
  <si>
    <t>Diode</t>
  </si>
  <si>
    <t>Terminal Block</t>
  </si>
  <si>
    <t>USB-B Connector</t>
  </si>
  <si>
    <t>ZENER</t>
  </si>
  <si>
    <t>R82EC1100DQ50J</t>
  </si>
  <si>
    <t>General Purpose Film Capacitor, Metallized PET Stacked, Radial Box - 2 Pin, 1000 pF, ± 5%, 63 V</t>
  </si>
  <si>
    <t>MMK15105J100B04L4BULK</t>
  </si>
  <si>
    <t>C1206X475K4NACAUTO</t>
  </si>
  <si>
    <t>R172183</t>
  </si>
  <si>
    <t>CL31B475KOHNNNE-Samsang-16V 4.7uF X7R ±10% 1206 Multilayer Ceramic Capacitors MLCC – SMD/SMT ROHS</t>
  </si>
  <si>
    <t>R186081</t>
  </si>
  <si>
    <t>URS1H471MHD-Nichicon-470uF 50V ±20% 750mA@120Hz Plugin</t>
  </si>
  <si>
    <t>R185897</t>
  </si>
  <si>
    <t>16ZLH680MEFC8X16-Rubycon-680uF 16V 45mΩ@100kHz ±20% 1.25A@100kHz Plugin</t>
  </si>
  <si>
    <t>EEU-FC1C681L</t>
  </si>
  <si>
    <t>Panasonic</t>
  </si>
  <si>
    <t>RES</t>
  </si>
  <si>
    <t>Female Header</t>
  </si>
  <si>
    <t>Battery Cell Holder</t>
  </si>
  <si>
    <t>SCR</t>
  </si>
  <si>
    <t>TVS Diode</t>
  </si>
  <si>
    <t>Box CAP</t>
  </si>
  <si>
    <t>Element 14</t>
  </si>
  <si>
    <t>GXT155R61A224KE01D</t>
  </si>
  <si>
    <t>Murata Electronics</t>
  </si>
  <si>
    <t>R136698</t>
  </si>
  <si>
    <t>GRM033R61A224ME90D-Murata-Cap Ceramic 0.22uF 10V X5R</t>
  </si>
  <si>
    <t>CGA5L1X7R1E106K160AC</t>
  </si>
  <si>
    <t>TDK</t>
  </si>
  <si>
    <t>R172201</t>
  </si>
  <si>
    <t>CL31A106KOHNNWE-Samsang-16V 10uF X5R 1206 Multilayer Ceramic Capacitors MLCC – SMD/SMT ROHS</t>
  </si>
  <si>
    <t>MAL215055102E3</t>
  </si>
  <si>
    <t>R185622</t>
  </si>
  <si>
    <t>16YXJ1000M10X16-Rubycon-1000uF 16V 62mΩ@100kHz ±20% 1.21A@100kHz Plugin,D10xL16mm Aluminum Electrolytic Capacitors – Leaded ROHS</t>
  </si>
  <si>
    <t>VJ0805A101KXAMC</t>
  </si>
  <si>
    <t>R143631</t>
  </si>
  <si>
    <t>0805CG101J101NT-FH -100V 100pF C0G±5% 0805 Multilayer Ceramic Capacitors MLCC</t>
  </si>
  <si>
    <t>1N4679</t>
  </si>
  <si>
    <t>Microchip Technology</t>
  </si>
  <si>
    <t>R206884</t>
  </si>
  <si>
    <t>ZMM2V2-Slkor-Independent Type 2.08V~2.33V 500mW 2.2V LL-34 Zener Diodes ROHS</t>
  </si>
  <si>
    <t>LSM0805412V</t>
  </si>
  <si>
    <t>VCC</t>
  </si>
  <si>
    <t>0805 Surface mount LED Orange</t>
  </si>
  <si>
    <t>SS34 Schottky Diode for High-Speed Switching</t>
  </si>
  <si>
    <t>Onsemi</t>
  </si>
  <si>
    <t>SM6T6V8CA-E3/52</t>
  </si>
  <si>
    <t>Vishay General Semiconductor</t>
  </si>
  <si>
    <t>R191216</t>
  </si>
  <si>
    <t>SMAJ6.0CA-BOURNS-SMAJ6.0CA-TVS Diode, SMAJ, Bidirectional, 6 V, 10.3 V, DO-214AC (SMA), 2 Pins</t>
  </si>
  <si>
    <t>PTVS26VZ1USKYL</t>
  </si>
  <si>
    <t>Nexperia</t>
  </si>
  <si>
    <t>TVS Diode, Unidirectional, 26 V, 57.5 V, DSN1608, 2 Pins</t>
  </si>
  <si>
    <t>MCR100-8</t>
  </si>
  <si>
    <t>Diodes Incorporated</t>
  </si>
  <si>
    <t>R205006</t>
  </si>
  <si>
    <t>MCR100-8-CBI-SOT-23 Thyristors (SCR)/Modules ROHS</t>
  </si>
  <si>
    <t>1N4007WS-MDD-1A Independent Type 1kV 1.1V@1A SOD-323 Diodes</t>
  </si>
  <si>
    <t>R205500</t>
  </si>
  <si>
    <t>S3Y</t>
  </si>
  <si>
    <t>Diotec Semiconductor</t>
  </si>
  <si>
    <t>OSTVN02A150</t>
  </si>
  <si>
    <t>On Shore Technology Inc.</t>
  </si>
  <si>
    <t>DG130-5.08-02P-14-00Z(H) -Degson-2 Pin 5.08mm PCB Terminal Block</t>
  </si>
  <si>
    <t>UE27-BC54-13H</t>
  </si>
  <si>
    <t>Amphenol Commercial Products</t>
  </si>
  <si>
    <t>USB Connector-JDH-11</t>
  </si>
  <si>
    <t>Amazon</t>
  </si>
  <si>
    <t>HDR100IMP40F-G-V-TH</t>
  </si>
  <si>
    <t>Chip Quik</t>
  </si>
  <si>
    <t>2.54mm 1×40 Pin Female Single Row Header Strip</t>
  </si>
  <si>
    <t>OSTVN05A150</t>
  </si>
  <si>
    <t>OSTVN03A150</t>
  </si>
  <si>
    <t>MSD1278-123MLD</t>
  </si>
  <si>
    <t>Coilcraft</t>
  </si>
  <si>
    <t>Wurth Elektronik</t>
  </si>
  <si>
    <t>ONSEMI</t>
  </si>
  <si>
    <t>R138420</t>
  </si>
  <si>
    <t>0805W8F0000T5E-Uniohm/Royal-ohm-125mW Thick Film Resistors 150V ±800ppm/℃±1% 0Ω 0805 Chip Resistor</t>
  </si>
  <si>
    <t>RC0805FR-100RL</t>
  </si>
  <si>
    <t>R143570</t>
  </si>
  <si>
    <t>AC0805FR-071KL-YAGEO-Res Thick Film 0805 1K Ohm 1% 0.125W(1/8W)</t>
  </si>
  <si>
    <t>RT0805FRE07200KL-YAGEO-Res Thin Film 0805 200K Ohm 1% 0.125W(1/8W)</t>
  </si>
  <si>
    <t>R139390</t>
  </si>
  <si>
    <t>AC0805FR-0710KL-YAGEO-Res Thick Film 0805 10K Ohm 1% 0.125W(1/8W)</t>
  </si>
  <si>
    <t>R143489</t>
  </si>
  <si>
    <t>R240870</t>
  </si>
  <si>
    <t>ESR10EZPJ100-ROHM-SMD Chip Resistor, 10 ohm, ± 5%, 400 mW, 0805</t>
  </si>
  <si>
    <t>R247329</t>
  </si>
  <si>
    <t>CR0805F787KP05Z-Ever Ohms Tech-125mW Thick Film Resistor 150V ±100ppm/℃ ±1% 787kΩ 0805</t>
  </si>
  <si>
    <t>0805W8F1000T5E-Uniohm/Royal-ohm-125mW Thick Film Resistors 150V ±100ppm/℃±1% 100Ω 0805</t>
  </si>
  <si>
    <t>R138421</t>
  </si>
  <si>
    <t>R137531</t>
  </si>
  <si>
    <t>AC0805JR-072K2L-YAGEO-Res Thick Film 0805 2.2K Ohm 5% 0.125W(1/8W)</t>
  </si>
  <si>
    <t>AC0805FR-074K7L-YAGEO-Res Thick Film 0805 4.7K Ohm 1% 0.125W(1/8W)</t>
  </si>
  <si>
    <t>R143505</t>
  </si>
  <si>
    <t>R143492</t>
  </si>
  <si>
    <t>AC0805FR-0733KL-YAGEO-Res Thick Film 0805 33K Ohm 1% 0.125W(1/8W)</t>
  </si>
  <si>
    <t>RC0805FR-0727KL-YAGEO-Res Thick Film 0805 27K Ohm 1% 0.125W(1/8W)</t>
  </si>
  <si>
    <t>R135897</t>
  </si>
  <si>
    <t>R214353</t>
  </si>
  <si>
    <t>RL0805FR-070R56L-Yageo-SMD Current Sense Resistor, 0.56 ohm, RL Series, 0805</t>
  </si>
  <si>
    <t>R137547</t>
  </si>
  <si>
    <t>AC0805JR-0775RL-YAGEO-Res Thick Film 0805 75 Ohm 5% 0.125W(1/8W)</t>
  </si>
  <si>
    <t>R135501</t>
  </si>
  <si>
    <t>0805W8F4221T5E-Uniohm/Royal-ohm-125mW Thick Film Resistors 150V±100ppm/℃ ±1% 4.22kΩ 0805</t>
  </si>
  <si>
    <t>R138395</t>
  </si>
  <si>
    <t>0805W8F200JT5E-Uniohm/Royal-ohm-125mW Thick Film Resistors 150V ±1% ±200ppm/℃ 20Ω 0805</t>
  </si>
  <si>
    <t>MOV-07D470K</t>
  </si>
  <si>
    <t>BOURNS</t>
  </si>
  <si>
    <t>V12ZA1P</t>
  </si>
  <si>
    <t>TVS Varistor, MOV, 6 V, 8 V, ZA, 34 V, Disc 7mm, Metal Oxide Varistor (MOV)</t>
  </si>
  <si>
    <t xml:space="preserve">
WURTH ELEKTRONIK</t>
  </si>
  <si>
    <t>750311675Copied</t>
  </si>
  <si>
    <t>SMPS Transformer, Flyback, 2 A, 1.5 kV, 9V to 30V</t>
  </si>
  <si>
    <t>FT232RL-REEL</t>
  </si>
  <si>
    <t>FTDI, Future Technology Devices International Ltd</t>
  </si>
  <si>
    <t>FTDI, Future Technology Devices IFt232Rl Ssop-28 Usb Interface ICnternational Ltd</t>
  </si>
  <si>
    <t>LD1117S33CTR</t>
  </si>
  <si>
    <t>STMicroelectronics</t>
  </si>
  <si>
    <t>LDO Voltage Regulators 3.3V 0.8A Positive</t>
  </si>
  <si>
    <t>TXS0104EPWR</t>
  </si>
  <si>
    <t>Texas Instruments</t>
  </si>
  <si>
    <t>Vishay Semiconductors</t>
  </si>
  <si>
    <t>DS3231SN#T&amp;R</t>
  </si>
  <si>
    <t>Analog Devices / Maxim Integrated</t>
  </si>
  <si>
    <t>DS3231M+TRL</t>
  </si>
  <si>
    <t>Real Time Clock 5ppm, I2C Real-Time Clock</t>
  </si>
  <si>
    <t>ADUM1300BRWZ-RL</t>
  </si>
  <si>
    <t>TLP293(BLL-TPL,E</t>
  </si>
  <si>
    <t>Toshiba</t>
  </si>
  <si>
    <t>LM324ADT</t>
  </si>
  <si>
    <t>ADM4853WARZ-RL7</t>
  </si>
  <si>
    <t>Analog Devices</t>
  </si>
  <si>
    <t>R178467</t>
  </si>
  <si>
    <t>ADM485JRZ-Analog Devices-1/1 Transceiver Half RS422, RS485 8-SOIC</t>
  </si>
  <si>
    <t>UCC28722DBVT</t>
  </si>
  <si>
    <t>AC/DC Isolated Flyback Power Supply Controller, 85-265 VAC, Constant Current/Voltage, SOT-23-6</t>
  </si>
  <si>
    <t>TLP293(BLL-TPL,E(T</t>
  </si>
  <si>
    <t>Optocoupler, 1 Channel, SOIC, 4 Pins, 50 mA, 3.75 kV, 200 %</t>
  </si>
  <si>
    <t>Digital Isolator, 3 Channels, 2.7 V, 5.5 V, WSOIC, 16 Pins, 10 Mbps</t>
  </si>
  <si>
    <t xml:space="preserve"> </t>
  </si>
  <si>
    <t>2308-6121TG</t>
  </si>
  <si>
    <t>3M Electronic Solutions Division</t>
  </si>
  <si>
    <t>1×40 Pin 2.54MM Berg Strip Male connector</t>
  </si>
  <si>
    <t>R233703</t>
  </si>
  <si>
    <t>TAJE477K010RNJ-AVX-470uF 10V 500mΩ@100kHz ±10% CASE-E-7343-43(mm)</t>
  </si>
  <si>
    <t>TPME477K006R0030</t>
  </si>
  <si>
    <t>KYOCERA AVX</t>
  </si>
  <si>
    <t>R243183</t>
  </si>
  <si>
    <t>CC0805KKX7R0BB105-YAGEO-100V 1uF X7R ±10% 0805</t>
  </si>
  <si>
    <t>VJ0805Y105KXQTW1BC</t>
  </si>
  <si>
    <t>R153376</t>
  </si>
  <si>
    <t>TCC0805COG200K500BT-CCTC-SMT ceramic capacitors 0805 COG</t>
  </si>
  <si>
    <t>C0805C200K8HACTU</t>
  </si>
  <si>
    <t>C0805C223G3GEC7210</t>
  </si>
  <si>
    <t>R153184</t>
  </si>
  <si>
    <t>TCC0805M3L223J500FT-CCTC-SMT ceramic capacitors 0805</t>
  </si>
  <si>
    <t>R153329</t>
  </si>
  <si>
    <t>TCC0805COG220J251BT-CCTC-SMT ceramic capacitors 0805 COG</t>
  </si>
  <si>
    <t>0805ZA220JAT2A</t>
  </si>
  <si>
    <t>08053A100FAT2A</t>
  </si>
  <si>
    <t>TCC0805COG100J101BT-CCTC-SMT ceramic capacitors 0805 COG</t>
  </si>
  <si>
    <t>R152709</t>
  </si>
  <si>
    <t>08053C330KAT2A</t>
  </si>
  <si>
    <t>MC0805N330K500CT-MULTICOMP PRO-CERAMIC CAPACITOR 33PF 50V, C0G</t>
  </si>
  <si>
    <t>R109495</t>
  </si>
  <si>
    <t>T495X337K010ATE060</t>
  </si>
  <si>
    <t>T510X337K010ATE035</t>
  </si>
  <si>
    <t>Surface Mount Tantalum Capacitor, 330 µF, 10 V, 2917 [7343 Metric], ± 10%, 0.035 ohm, X</t>
  </si>
  <si>
    <t>R172229</t>
  </si>
  <si>
    <t>CL21B225KOFNFNE-Samsung-16V 2.2uF X7R ±10% 0805</t>
  </si>
  <si>
    <t>C0805C225K4RAC3123</t>
  </si>
  <si>
    <t>BAT54C-MS-MSKSEMI-30V Dual 1V@100mA 200mA SOT-23</t>
  </si>
  <si>
    <t>R241397</t>
  </si>
  <si>
    <t>ESD131B1W0201E6327XTSA1</t>
  </si>
  <si>
    <t>Infineon Technologies</t>
  </si>
  <si>
    <t>BLM03HG122SH1D</t>
  </si>
  <si>
    <t>GZ1005D601CTF-SUNLORD-500mΩ ±25% 600Ω@100MHz 0402 Ferrite Beads ROHS</t>
  </si>
  <si>
    <t>R112483</t>
  </si>
  <si>
    <t>DM3AT-SF-PEJM5</t>
  </si>
  <si>
    <t>Hirose Connector</t>
  </si>
  <si>
    <t>Hirose</t>
  </si>
  <si>
    <t>R209151</t>
  </si>
  <si>
    <t>1909763-1-TE Connectivity-1 Inner pin IPEX Board-End 1.25mm 6GHz 50Ω 2mm SMD Coaxial Connectors (RF) ROHS</t>
  </si>
  <si>
    <t>RECE.20449.001E.01</t>
  </si>
  <si>
    <t>Taoglas</t>
  </si>
  <si>
    <t>R224318</t>
  </si>
  <si>
    <t>BC848(RANGE:200-450)-JCET-NPN SOT-23 Bipolar (BJT)</t>
  </si>
  <si>
    <t>FMMT619TA</t>
  </si>
  <si>
    <t>R247415</t>
  </si>
  <si>
    <t>CR0805J1M00P05Z-Ever Ohms Tech-Thick Film Resistor 150V ±5% 1MΩ 0805</t>
  </si>
  <si>
    <t>AC0805JR-0747KL-YAGEO-Res Thick Film 0805 47K Ohm 5% 0.125W(1/8W)</t>
  </si>
  <si>
    <t>R137542</t>
  </si>
  <si>
    <t>RC0805FR-0722RL-Yageo-SMD Chip Resistor, 22 ohm, ± 1%, 125 mW, 0805</t>
  </si>
  <si>
    <t>R189228</t>
  </si>
  <si>
    <t>R227658</t>
  </si>
  <si>
    <t>AC0805FR-13100KL-YAGEO-125mW Thick Film Resistors ±100ppm/℃ ±1% 100kΩ 0805</t>
  </si>
  <si>
    <t>R189281</t>
  </si>
  <si>
    <t>RC0805JR-07330RL-Yageo-SMD Chip Resistor, 330 ohm, ± 5%, 125 mW, 0805</t>
  </si>
  <si>
    <t>R136946</t>
  </si>
  <si>
    <t>AC0805FR-07470RL-YAGEO-Res Thick Film 0805 470 Ohm 1% 0.125W(1/8W)</t>
  </si>
  <si>
    <t>R242554</t>
  </si>
  <si>
    <t>TLSA070JLFS-C&amp;K-Round Button 50mA Vertical welding SPST</t>
  </si>
  <si>
    <t>Sharvari Electronics</t>
  </si>
  <si>
    <t>R208459</t>
  </si>
  <si>
    <t>MIC29302AWD-MICROCHIP-MIC29302AWD-LDO Voltage Regulator</t>
  </si>
  <si>
    <t>STM32F411CEU6TR-STMicroelectronics-ARM-M4 100MHz UFQFPN-48(7×7) Microcontrollers (MCU/MPU/SOC) ROHS</t>
  </si>
  <si>
    <t>R233574</t>
  </si>
  <si>
    <t>STM32F411CEU6</t>
  </si>
  <si>
    <t>Richtek</t>
  </si>
  <si>
    <t>LFXTAL050789</t>
  </si>
  <si>
    <t>Crystal, 32.768 kHz, SMD, 2mm x 1.2mm, 12.5 pF, 20 ppm, IQXC-25 Series</t>
  </si>
  <si>
    <t>IQD</t>
  </si>
  <si>
    <t>ABM8AAIG-25.000MHZ-V2R-T3</t>
  </si>
  <si>
    <t>ABRACON</t>
  </si>
  <si>
    <t>Crystal, 25 MHz, SMD, 3.2mm x 2.5mm, 150 ppm, 8 pF, 15 ppm, ABM8AAIG Series</t>
  </si>
  <si>
    <t>PCB Cost</t>
  </si>
  <si>
    <t>Components</t>
  </si>
  <si>
    <t>Box</t>
  </si>
  <si>
    <t>Total=</t>
  </si>
  <si>
    <t>Total coat for 5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</si>
</sst>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rgb="FF3F3F7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333333"/>
      <name val="Arial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333E48"/>
      <name val="Arial"/>
      <family val="2"/>
    </font>
    <font>
      <sz val="10"/>
      <color rgb="FF1616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A5A5A5"/>
      </patternFill>
    </fill>
  </fills>
  <borders count="8"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rgb="FF3F3F3F"/>
      </right>
      <top style="double">
        <color rgb="FF3F3F3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5" fillId="4" borderId="4" applyNumberFormat="0" applyAlignment="0" applyProtection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0" fillId="0" borderId="0" xfId="0" applyFill="1"/>
    <xf numFmtId="0" fontId="1" fillId="0" borderId="5" xfId="0" applyFont="1" applyBorder="1"/>
    <xf numFmtId="0" fontId="1" fillId="0" borderId="5" xfId="0" applyFont="1" applyFill="1" applyBorder="1"/>
    <xf numFmtId="0" fontId="5" fillId="0" borderId="6" xfId="1" applyFill="1" applyBorder="1"/>
    <xf numFmtId="0" fontId="5" fillId="4" borderId="5" xfId="1" applyBorder="1"/>
    <xf numFmtId="0" fontId="0" fillId="0" borderId="5" xfId="0" applyBorder="1"/>
    <xf numFmtId="0" fontId="6" fillId="0" borderId="5" xfId="2" applyBorder="1"/>
    <xf numFmtId="0" fontId="7" fillId="0" borderId="5" xfId="0" applyFont="1" applyBorder="1"/>
    <xf numFmtId="0" fontId="4" fillId="0" borderId="5" xfId="0" applyFont="1" applyFill="1" applyBorder="1"/>
    <xf numFmtId="0" fontId="0" fillId="0" borderId="5" xfId="0" applyFill="1" applyBorder="1"/>
    <xf numFmtId="0" fontId="4" fillId="0" borderId="5" xfId="0" applyFont="1" applyBorder="1"/>
    <xf numFmtId="0" fontId="6" fillId="0" borderId="5" xfId="2" applyFill="1" applyBorder="1"/>
    <xf numFmtId="0" fontId="3" fillId="3" borderId="5" xfId="0" applyFont="1" applyFill="1" applyBorder="1"/>
    <xf numFmtId="0" fontId="0" fillId="0" borderId="5" xfId="0" applyFill="1" applyBorder="1" applyAlignment="1">
      <alignment wrapText="1"/>
    </xf>
    <xf numFmtId="0" fontId="8" fillId="0" borderId="5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7" xfId="0" applyFill="1" applyBorder="1"/>
  </cellXfs>
  <cellStyles count="3">
    <cellStyle name="Check Cell" xfId="1" builtinId="23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in/manufacturer/wurth-elektronik/" TargetMode="External"/><Relationship Id="rId13" Type="http://schemas.openxmlformats.org/officeDocument/2006/relationships/hyperlink" Target="https://www.mouser.in/ProductDetail/Analog-Devices/ADUM1300BRWZ-RL?qs=WIvQP4zGanjXivd8w9s%252BrQ%3D%3D" TargetMode="External"/><Relationship Id="rId3" Type="http://schemas.openxmlformats.org/officeDocument/2006/relationships/hyperlink" Target="https://www.mouser.in/ProductDetail/YAGEO/AC0805KRX7R7BB104?qs=sGAEpiMZZMukHu%252BjC5l7YWFdFy%252Bfu6GWDe4ay%252BalAUI%3D" TargetMode="External"/><Relationship Id="rId7" Type="http://schemas.openxmlformats.org/officeDocument/2006/relationships/hyperlink" Target="https://www.mouser.in/manufacturer/chipquik/" TargetMode="External"/><Relationship Id="rId12" Type="http://schemas.openxmlformats.org/officeDocument/2006/relationships/hyperlink" Target="https://www.mouser.in/ProductDetail/700-DS3231M%2bTRL" TargetMode="External"/><Relationship Id="rId2" Type="http://schemas.openxmlformats.org/officeDocument/2006/relationships/hyperlink" Target="https://www.mouser.in/manufacturer/vitramon/" TargetMode="External"/><Relationship Id="rId1" Type="http://schemas.openxmlformats.org/officeDocument/2006/relationships/hyperlink" Target="https://www.mouser.in/manufacturer/harwin/" TargetMode="External"/><Relationship Id="rId6" Type="http://schemas.openxmlformats.org/officeDocument/2006/relationships/hyperlink" Target="https://www.mouser.in/manufacturer/chipquik/" TargetMode="External"/><Relationship Id="rId11" Type="http://schemas.openxmlformats.org/officeDocument/2006/relationships/hyperlink" Target="https://www.mouser.in/manufacturer/vishaysemiconductors/" TargetMode="External"/><Relationship Id="rId5" Type="http://schemas.openxmlformats.org/officeDocument/2006/relationships/hyperlink" Target="https://www.mouser.in/manufacturer/amphenolcommercial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mouser.in/manufacturer/texas-instruments/" TargetMode="External"/><Relationship Id="rId4" Type="http://schemas.openxmlformats.org/officeDocument/2006/relationships/hyperlink" Target="https://www.mouser.in/manufacturer/microchip/" TargetMode="External"/><Relationship Id="rId9" Type="http://schemas.openxmlformats.org/officeDocument/2006/relationships/hyperlink" Target="https://in.element14.com/c/circuit-protection/tvs-transient-voltage-suppressors/tvs-varistors/prl/results?brand=bourns" TargetMode="External"/><Relationship Id="rId14" Type="http://schemas.openxmlformats.org/officeDocument/2006/relationships/hyperlink" Target="https://www.mouser.in/manufacturer/stmicroelectronics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in/manufacturer/kyocera-avx/" TargetMode="External"/><Relationship Id="rId13" Type="http://schemas.openxmlformats.org/officeDocument/2006/relationships/hyperlink" Target="https://www.mouser.in/manufacturer/texas-instruments/" TargetMode="External"/><Relationship Id="rId3" Type="http://schemas.openxmlformats.org/officeDocument/2006/relationships/hyperlink" Target="https://www.mouser.in/manufacturer/vitramon/" TargetMode="External"/><Relationship Id="rId7" Type="http://schemas.openxmlformats.org/officeDocument/2006/relationships/hyperlink" Target="https://www.mouser.in/manufacturer/kyocera-avx/" TargetMode="External"/><Relationship Id="rId12" Type="http://schemas.openxmlformats.org/officeDocument/2006/relationships/hyperlink" Target="https://www.mouser.in/manufacturer/taoglas/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s://www.mouser.in/manufacturer/kyocera-avx/" TargetMode="External"/><Relationship Id="rId16" Type="http://schemas.openxmlformats.org/officeDocument/2006/relationships/hyperlink" Target="https://in.element14.com/c/crystals-oscillators/crystals/prl/results?brand=abracon" TargetMode="External"/><Relationship Id="rId1" Type="http://schemas.openxmlformats.org/officeDocument/2006/relationships/hyperlink" Target="https://www.mouser.in/ProductDetail/YAGEO/AC0805KRX7R7BB104?qs=sGAEpiMZZMukHu%252BjC5l7YWFdFy%252Bfu6GWDe4ay%252BalAUI%3D" TargetMode="External"/><Relationship Id="rId6" Type="http://schemas.openxmlformats.org/officeDocument/2006/relationships/hyperlink" Target="https://www.mouser.in/manufacturer/kyocera-avx/" TargetMode="External"/><Relationship Id="rId11" Type="http://schemas.openxmlformats.org/officeDocument/2006/relationships/hyperlink" Target="https://www.mouser.in/manufacturer/murataelectronics/" TargetMode="External"/><Relationship Id="rId5" Type="http://schemas.openxmlformats.org/officeDocument/2006/relationships/hyperlink" Target="https://www.mouser.in/ProductDetail/KYOCERA-AVX/0805ZA220JAT2A?qs=qVfB0%2FDaMDayn2JkoZWS9w%3D%3D" TargetMode="External"/><Relationship Id="rId15" Type="http://schemas.openxmlformats.org/officeDocument/2006/relationships/hyperlink" Target="https://www.mouser.in/manufacturer/stmicroelectronics/" TargetMode="External"/><Relationship Id="rId10" Type="http://schemas.openxmlformats.org/officeDocument/2006/relationships/hyperlink" Target="https://www.mouser.in/manufacturer/stmicroelectronics/" TargetMode="External"/><Relationship Id="rId4" Type="http://schemas.openxmlformats.org/officeDocument/2006/relationships/hyperlink" Target="https://www.mouser.in/manufacturer/kemet-electronics/" TargetMode="External"/><Relationship Id="rId9" Type="http://schemas.openxmlformats.org/officeDocument/2006/relationships/hyperlink" Target="https://www.mouser.in/manufacturer/kyocera-avx/" TargetMode="External"/><Relationship Id="rId14" Type="http://schemas.openxmlformats.org/officeDocument/2006/relationships/hyperlink" Target="https://www.mouser.in/manufacturer/microchi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"/>
  <sheetViews>
    <sheetView topLeftCell="D16" zoomScale="70" zoomScaleNormal="70" workbookViewId="0">
      <selection activeCell="Q60" sqref="Q60"/>
    </sheetView>
  </sheetViews>
  <sheetFormatPr defaultRowHeight="15" x14ac:dyDescent="0.25"/>
  <cols>
    <col min="2" max="2" width="11.42578125" bestFit="1" customWidth="1"/>
    <col min="3" max="3" width="55.42578125" customWidth="1"/>
    <col min="4" max="4" width="21" bestFit="1" customWidth="1"/>
    <col min="5" max="5" width="14.85546875" bestFit="1" customWidth="1"/>
    <col min="6" max="6" width="93" bestFit="1" customWidth="1"/>
    <col min="7" max="7" width="16.85546875" bestFit="1" customWidth="1"/>
    <col min="8" max="8" width="31.140625" bestFit="1" customWidth="1"/>
    <col min="9" max="9" width="31.140625" customWidth="1"/>
    <col min="10" max="10" width="38.28515625" customWidth="1"/>
    <col min="11" max="12" width="31.140625" customWidth="1"/>
    <col min="13" max="13" width="121.28515625" hidden="1" customWidth="1"/>
    <col min="14" max="14" width="22.5703125" bestFit="1" customWidth="1"/>
    <col min="15" max="15" width="20.28515625" bestFit="1" customWidth="1"/>
  </cols>
  <sheetData>
    <row r="1" spans="1:18" ht="15" customHeight="1" x14ac:dyDescent="0.25">
      <c r="A1" s="1"/>
      <c r="B1" s="17" t="s">
        <v>270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</row>
    <row r="2" spans="1:18" ht="15" customHeight="1" x14ac:dyDescent="0.25">
      <c r="A2" s="1"/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1"/>
      <c r="O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8" x14ac:dyDescent="0.25">
      <c r="A4" s="14" t="s">
        <v>260</v>
      </c>
      <c r="B4" s="14" t="s">
        <v>261</v>
      </c>
      <c r="C4" s="14" t="s">
        <v>0</v>
      </c>
      <c r="D4" s="14" t="s">
        <v>1</v>
      </c>
      <c r="E4" s="14" t="s">
        <v>262</v>
      </c>
      <c r="F4" s="14" t="s">
        <v>263</v>
      </c>
      <c r="G4" s="14" t="s">
        <v>264</v>
      </c>
      <c r="H4" s="14" t="s">
        <v>265</v>
      </c>
      <c r="I4" s="14" t="s">
        <v>266</v>
      </c>
      <c r="J4" s="14" t="s">
        <v>267</v>
      </c>
      <c r="K4" s="14" t="s">
        <v>311</v>
      </c>
      <c r="L4" s="14" t="s">
        <v>312</v>
      </c>
      <c r="M4" s="14" t="s">
        <v>6</v>
      </c>
      <c r="N4" s="14" t="s">
        <v>268</v>
      </c>
      <c r="O4" s="14" t="s">
        <v>269</v>
      </c>
      <c r="P4" s="14" t="s">
        <v>307</v>
      </c>
      <c r="Q4" s="14" t="s">
        <v>308</v>
      </c>
      <c r="R4" s="6" t="s">
        <v>309</v>
      </c>
    </row>
    <row r="5" spans="1:18" x14ac:dyDescent="0.25">
      <c r="A5" s="11">
        <v>1</v>
      </c>
      <c r="B5" s="7">
        <v>9</v>
      </c>
      <c r="C5" s="7" t="s">
        <v>301</v>
      </c>
      <c r="D5" s="7" t="s">
        <v>9</v>
      </c>
      <c r="E5" s="4" t="s">
        <v>273</v>
      </c>
      <c r="F5" s="7" t="s">
        <v>11</v>
      </c>
      <c r="G5" s="8" t="s">
        <v>305</v>
      </c>
      <c r="H5" s="7" t="s">
        <v>306</v>
      </c>
      <c r="I5" s="7"/>
      <c r="J5" s="10"/>
      <c r="K5" s="7" t="s">
        <v>313</v>
      </c>
      <c r="L5" s="7" t="s">
        <v>314</v>
      </c>
      <c r="M5" s="7" t="s">
        <v>10</v>
      </c>
      <c r="N5" s="11"/>
      <c r="O5" s="11"/>
      <c r="P5" s="7">
        <v>1.96</v>
      </c>
      <c r="Q5" s="7">
        <f>P5*B5*5</f>
        <v>88.2</v>
      </c>
      <c r="R5" s="7" t="s">
        <v>345</v>
      </c>
    </row>
    <row r="6" spans="1:18" x14ac:dyDescent="0.25">
      <c r="A6" s="7">
        <v>2</v>
      </c>
      <c r="B6" s="7">
        <v>1</v>
      </c>
      <c r="C6" s="7" t="s">
        <v>12</v>
      </c>
      <c r="D6" s="7" t="s">
        <v>13</v>
      </c>
      <c r="E6" s="4" t="s">
        <v>315</v>
      </c>
      <c r="F6" s="7" t="s">
        <v>14</v>
      </c>
      <c r="G6" s="7" t="s">
        <v>275</v>
      </c>
      <c r="H6" s="4" t="s">
        <v>274</v>
      </c>
      <c r="I6" s="10"/>
      <c r="J6" s="4"/>
      <c r="K6" s="7" t="s">
        <v>316</v>
      </c>
      <c r="L6" s="7" t="s">
        <v>317</v>
      </c>
      <c r="M6" s="7" t="s">
        <v>10</v>
      </c>
      <c r="N6" s="11"/>
      <c r="O6" s="11"/>
      <c r="P6" s="7">
        <v>45</v>
      </c>
      <c r="Q6" s="7">
        <f t="shared" ref="Q6:Q59" si="0">P6*B6*5</f>
        <v>225</v>
      </c>
      <c r="R6" s="7" t="s">
        <v>345</v>
      </c>
    </row>
    <row r="7" spans="1:18" x14ac:dyDescent="0.25">
      <c r="A7" s="7">
        <v>3</v>
      </c>
      <c r="B7" s="7">
        <v>1</v>
      </c>
      <c r="C7" s="7" t="s">
        <v>15</v>
      </c>
      <c r="D7" s="7" t="s">
        <v>16</v>
      </c>
      <c r="E7" s="4" t="s">
        <v>320</v>
      </c>
      <c r="F7" s="7" t="s">
        <v>17</v>
      </c>
      <c r="G7" s="12" t="s">
        <v>318</v>
      </c>
      <c r="H7" s="3" t="s">
        <v>319</v>
      </c>
      <c r="I7" s="12" t="s">
        <v>333</v>
      </c>
      <c r="J7" s="3" t="s">
        <v>334</v>
      </c>
      <c r="K7" s="7"/>
      <c r="L7" s="7"/>
      <c r="M7" s="7" t="s">
        <v>18</v>
      </c>
      <c r="N7" s="11"/>
      <c r="O7" s="11"/>
      <c r="P7" s="7">
        <v>58</v>
      </c>
      <c r="Q7" s="7">
        <f t="shared" si="0"/>
        <v>290</v>
      </c>
      <c r="R7" s="7" t="s">
        <v>310</v>
      </c>
    </row>
    <row r="8" spans="1:18" x14ac:dyDescent="0.25">
      <c r="A8" s="7">
        <v>4</v>
      </c>
      <c r="B8" s="7">
        <v>2</v>
      </c>
      <c r="C8" s="7" t="s">
        <v>19</v>
      </c>
      <c r="D8" s="7" t="s">
        <v>20</v>
      </c>
      <c r="E8" s="4" t="s">
        <v>273</v>
      </c>
      <c r="F8" s="7" t="s">
        <v>11</v>
      </c>
      <c r="G8" s="12" t="s">
        <v>330</v>
      </c>
      <c r="H8" s="3" t="s">
        <v>274</v>
      </c>
      <c r="I8" s="12" t="s">
        <v>331</v>
      </c>
      <c r="J8" s="3" t="s">
        <v>332</v>
      </c>
      <c r="K8" s="4"/>
      <c r="L8" s="4"/>
      <c r="M8" s="7" t="s">
        <v>10</v>
      </c>
      <c r="N8" s="11"/>
      <c r="O8" s="11"/>
      <c r="P8" s="7">
        <v>3</v>
      </c>
      <c r="Q8" s="7">
        <f t="shared" si="0"/>
        <v>30</v>
      </c>
      <c r="R8" s="7" t="s">
        <v>310</v>
      </c>
    </row>
    <row r="9" spans="1:18" x14ac:dyDescent="0.25">
      <c r="A9" s="7">
        <v>5</v>
      </c>
      <c r="B9" s="7">
        <v>1</v>
      </c>
      <c r="C9" s="7" t="s">
        <v>21</v>
      </c>
      <c r="D9" s="7" t="s">
        <v>281</v>
      </c>
      <c r="E9" s="4" t="s">
        <v>320</v>
      </c>
      <c r="F9" s="7" t="s">
        <v>17</v>
      </c>
      <c r="G9" s="11" t="s">
        <v>337</v>
      </c>
      <c r="H9" s="4" t="s">
        <v>338</v>
      </c>
      <c r="I9" s="10" t="s">
        <v>335</v>
      </c>
      <c r="J9" s="4" t="s">
        <v>336</v>
      </c>
      <c r="K9" s="11"/>
      <c r="L9" s="11"/>
      <c r="M9" s="7" t="s">
        <v>18</v>
      </c>
      <c r="N9" s="11"/>
      <c r="O9" s="11"/>
      <c r="P9" s="7">
        <v>15</v>
      </c>
      <c r="Q9" s="7">
        <f t="shared" si="0"/>
        <v>75</v>
      </c>
      <c r="R9" s="7" t="s">
        <v>310</v>
      </c>
    </row>
    <row r="10" spans="1:18" x14ac:dyDescent="0.25">
      <c r="A10" s="7">
        <v>6</v>
      </c>
      <c r="B10" s="7">
        <v>1</v>
      </c>
      <c r="C10" s="7" t="s">
        <v>22</v>
      </c>
      <c r="D10" s="7" t="s">
        <v>23</v>
      </c>
      <c r="E10" s="4" t="s">
        <v>273</v>
      </c>
      <c r="F10" s="7" t="s">
        <v>24</v>
      </c>
      <c r="G10" s="11" t="s">
        <v>346</v>
      </c>
      <c r="H10" s="4" t="s">
        <v>347</v>
      </c>
      <c r="I10" s="10" t="s">
        <v>348</v>
      </c>
      <c r="J10" s="4" t="s">
        <v>349</v>
      </c>
      <c r="K10" s="11"/>
      <c r="L10" s="11"/>
      <c r="M10" s="7" t="s">
        <v>10</v>
      </c>
      <c r="N10" s="11"/>
      <c r="O10" s="11"/>
      <c r="P10" s="7">
        <v>0.37</v>
      </c>
      <c r="Q10" s="7">
        <f t="shared" si="0"/>
        <v>1.85</v>
      </c>
      <c r="R10" s="7" t="s">
        <v>310</v>
      </c>
    </row>
    <row r="11" spans="1:18" x14ac:dyDescent="0.25">
      <c r="A11" s="7">
        <v>7</v>
      </c>
      <c r="B11" s="7">
        <v>1</v>
      </c>
      <c r="C11" s="7" t="s">
        <v>25</v>
      </c>
      <c r="D11" s="7" t="s">
        <v>26</v>
      </c>
      <c r="E11" s="4" t="s">
        <v>344</v>
      </c>
      <c r="F11" s="7" t="s">
        <v>27</v>
      </c>
      <c r="G11" s="10" t="s">
        <v>329</v>
      </c>
      <c r="H11" s="4" t="s">
        <v>274</v>
      </c>
      <c r="I11" s="11"/>
      <c r="J11" s="11"/>
      <c r="K11" s="3" t="s">
        <v>327</v>
      </c>
      <c r="L11" s="11" t="s">
        <v>328</v>
      </c>
      <c r="M11" s="7" t="s">
        <v>10</v>
      </c>
      <c r="N11" s="11"/>
      <c r="O11" s="11"/>
      <c r="P11" s="7">
        <v>11.111000000000001</v>
      </c>
      <c r="Q11" s="7">
        <f t="shared" si="0"/>
        <v>55.555000000000007</v>
      </c>
      <c r="R11" s="7" t="s">
        <v>310</v>
      </c>
    </row>
    <row r="12" spans="1:18" x14ac:dyDescent="0.25">
      <c r="A12" s="7">
        <v>8</v>
      </c>
      <c r="B12" s="7">
        <v>7</v>
      </c>
      <c r="C12" s="7" t="s">
        <v>28</v>
      </c>
      <c r="D12" s="7" t="s">
        <v>29</v>
      </c>
      <c r="E12" s="11" t="s">
        <v>273</v>
      </c>
      <c r="F12" s="7" t="s">
        <v>11</v>
      </c>
      <c r="G12" s="12" t="s">
        <v>350</v>
      </c>
      <c r="H12" s="3" t="s">
        <v>351</v>
      </c>
      <c r="I12" s="12" t="s">
        <v>352</v>
      </c>
      <c r="J12" s="3" t="s">
        <v>353</v>
      </c>
      <c r="K12" s="11"/>
      <c r="L12" s="11"/>
      <c r="M12" s="7" t="s">
        <v>10</v>
      </c>
      <c r="N12" s="11"/>
      <c r="O12" s="11"/>
      <c r="P12" s="7">
        <v>2</v>
      </c>
      <c r="Q12" s="7">
        <f t="shared" si="0"/>
        <v>70</v>
      </c>
      <c r="R12" s="7" t="s">
        <v>310</v>
      </c>
    </row>
    <row r="13" spans="1:18" x14ac:dyDescent="0.25">
      <c r="A13" s="7">
        <v>9</v>
      </c>
      <c r="B13" s="7">
        <v>5</v>
      </c>
      <c r="C13" s="7" t="s">
        <v>302</v>
      </c>
      <c r="D13" s="7" t="s">
        <v>303</v>
      </c>
      <c r="E13" s="11" t="s">
        <v>273</v>
      </c>
      <c r="F13" s="7" t="s">
        <v>11</v>
      </c>
      <c r="G13" s="7" t="s">
        <v>298</v>
      </c>
      <c r="H13" s="8" t="s">
        <v>299</v>
      </c>
      <c r="I13" s="12" t="s">
        <v>300</v>
      </c>
      <c r="J13" s="11" t="s">
        <v>304</v>
      </c>
      <c r="K13" s="8"/>
      <c r="L13" s="8"/>
      <c r="M13" s="7" t="s">
        <v>10</v>
      </c>
      <c r="N13" s="11"/>
      <c r="O13" s="11"/>
      <c r="P13" s="7">
        <v>0.72</v>
      </c>
      <c r="Q13" s="7">
        <f t="shared" si="0"/>
        <v>18</v>
      </c>
      <c r="R13" s="7" t="s">
        <v>310</v>
      </c>
    </row>
    <row r="14" spans="1:18" x14ac:dyDescent="0.25">
      <c r="A14" s="7">
        <v>10</v>
      </c>
      <c r="B14" s="7">
        <v>1</v>
      </c>
      <c r="C14" s="7" t="s">
        <v>30</v>
      </c>
      <c r="D14" s="7" t="s">
        <v>282</v>
      </c>
      <c r="E14" s="11" t="s">
        <v>320</v>
      </c>
      <c r="F14" s="7" t="s">
        <v>17</v>
      </c>
      <c r="G14" s="12" t="s">
        <v>354</v>
      </c>
      <c r="H14" s="3" t="s">
        <v>319</v>
      </c>
      <c r="I14" s="12" t="s">
        <v>355</v>
      </c>
      <c r="J14" s="3" t="s">
        <v>356</v>
      </c>
      <c r="K14" s="11"/>
      <c r="L14" s="11"/>
      <c r="M14" s="7" t="s">
        <v>18</v>
      </c>
      <c r="N14" s="11"/>
      <c r="O14" s="11"/>
      <c r="P14" s="7">
        <v>19</v>
      </c>
      <c r="Q14" s="7">
        <f t="shared" si="0"/>
        <v>95</v>
      </c>
      <c r="R14" s="7" t="s">
        <v>310</v>
      </c>
    </row>
    <row r="15" spans="1:18" x14ac:dyDescent="0.25">
      <c r="A15" s="7">
        <v>11</v>
      </c>
      <c r="B15" s="7">
        <v>1</v>
      </c>
      <c r="C15" s="7" t="s">
        <v>31</v>
      </c>
      <c r="D15" s="7" t="s">
        <v>32</v>
      </c>
      <c r="E15" s="11" t="s">
        <v>273</v>
      </c>
      <c r="F15" s="7" t="s">
        <v>24</v>
      </c>
      <c r="G15" s="11" t="s">
        <v>357</v>
      </c>
      <c r="H15" s="4" t="s">
        <v>319</v>
      </c>
      <c r="I15" s="10" t="s">
        <v>358</v>
      </c>
      <c r="J15" s="11" t="s">
        <v>359</v>
      </c>
      <c r="K15" s="11"/>
      <c r="L15" s="11"/>
      <c r="M15" s="7" t="s">
        <v>10</v>
      </c>
      <c r="N15" s="11"/>
      <c r="O15" s="11"/>
      <c r="P15" s="7">
        <v>0.75</v>
      </c>
      <c r="Q15" s="7">
        <f t="shared" si="0"/>
        <v>3.75</v>
      </c>
      <c r="R15" s="7" t="s">
        <v>310</v>
      </c>
    </row>
    <row r="16" spans="1:18" x14ac:dyDescent="0.25">
      <c r="A16" s="7">
        <v>12</v>
      </c>
      <c r="B16" s="7">
        <v>4</v>
      </c>
      <c r="C16" s="7" t="s">
        <v>33</v>
      </c>
      <c r="D16" s="7" t="s">
        <v>34</v>
      </c>
      <c r="E16" s="11" t="s">
        <v>326</v>
      </c>
      <c r="F16" s="7" t="s">
        <v>35</v>
      </c>
      <c r="G16" s="3" t="s">
        <v>360</v>
      </c>
      <c r="H16" s="8" t="s">
        <v>361</v>
      </c>
      <c r="I16" s="3" t="s">
        <v>362</v>
      </c>
      <c r="J16" s="3" t="s">
        <v>363</v>
      </c>
      <c r="K16" s="11"/>
      <c r="L16" s="11"/>
      <c r="M16" s="7" t="s">
        <v>36</v>
      </c>
      <c r="N16" s="11"/>
      <c r="O16" s="11"/>
      <c r="P16" s="7">
        <v>3</v>
      </c>
      <c r="Q16" s="7">
        <f t="shared" si="0"/>
        <v>60</v>
      </c>
      <c r="R16" s="7" t="s">
        <v>310</v>
      </c>
    </row>
    <row r="17" spans="1:18" x14ac:dyDescent="0.25">
      <c r="A17" s="7">
        <v>13</v>
      </c>
      <c r="B17" s="7">
        <v>1</v>
      </c>
      <c r="C17" s="7" t="s">
        <v>37</v>
      </c>
      <c r="D17" s="7" t="s">
        <v>38</v>
      </c>
      <c r="E17" s="11" t="s">
        <v>321</v>
      </c>
      <c r="F17" s="7" t="s">
        <v>276</v>
      </c>
      <c r="G17" s="11" t="s">
        <v>364</v>
      </c>
      <c r="H17" s="4" t="s">
        <v>365</v>
      </c>
      <c r="I17" s="11">
        <v>827886</v>
      </c>
      <c r="J17" s="11" t="s">
        <v>366</v>
      </c>
      <c r="K17" s="11"/>
      <c r="L17" s="11"/>
      <c r="M17" s="7" t="s">
        <v>39</v>
      </c>
      <c r="N17" s="11"/>
      <c r="O17" s="11"/>
      <c r="P17" s="7">
        <v>2</v>
      </c>
      <c r="Q17" s="7">
        <f t="shared" si="0"/>
        <v>10</v>
      </c>
      <c r="R17" s="7" t="s">
        <v>310</v>
      </c>
    </row>
    <row r="18" spans="1:18" x14ac:dyDescent="0.25">
      <c r="A18" s="7">
        <v>14</v>
      </c>
      <c r="B18" s="7">
        <v>3</v>
      </c>
      <c r="C18" s="7" t="s">
        <v>40</v>
      </c>
      <c r="D18" s="7" t="s">
        <v>41</v>
      </c>
      <c r="E18" s="11" t="s">
        <v>322</v>
      </c>
      <c r="F18" s="7" t="s">
        <v>43</v>
      </c>
      <c r="G18" s="3" t="s">
        <v>41</v>
      </c>
      <c r="H18" s="3" t="s">
        <v>368</v>
      </c>
      <c r="I18" s="3">
        <v>511693</v>
      </c>
      <c r="J18" s="3" t="s">
        <v>367</v>
      </c>
      <c r="K18" s="11"/>
      <c r="L18" s="11"/>
      <c r="M18" s="7" t="s">
        <v>44</v>
      </c>
      <c r="N18" s="11"/>
      <c r="O18" s="11"/>
      <c r="P18" s="7">
        <v>25</v>
      </c>
      <c r="Q18" s="7">
        <f t="shared" si="0"/>
        <v>375</v>
      </c>
      <c r="R18" s="7" t="s">
        <v>310</v>
      </c>
    </row>
    <row r="19" spans="1:18" x14ac:dyDescent="0.25">
      <c r="A19" s="7">
        <v>15</v>
      </c>
      <c r="B19" s="7">
        <v>3</v>
      </c>
      <c r="C19" s="7" t="s">
        <v>45</v>
      </c>
      <c r="D19" s="7" t="s">
        <v>46</v>
      </c>
      <c r="E19" s="11" t="s">
        <v>343</v>
      </c>
      <c r="F19" s="7" t="s">
        <v>43</v>
      </c>
      <c r="G19" s="3" t="s">
        <v>369</v>
      </c>
      <c r="H19" s="3" t="s">
        <v>370</v>
      </c>
      <c r="I19" s="3" t="s">
        <v>371</v>
      </c>
      <c r="J19" s="3" t="s">
        <v>372</v>
      </c>
      <c r="K19" s="11"/>
      <c r="L19" s="11"/>
      <c r="M19" s="7" t="s">
        <v>48</v>
      </c>
      <c r="N19" s="11"/>
      <c r="O19" s="11"/>
      <c r="P19" s="7">
        <v>9</v>
      </c>
      <c r="Q19" s="7">
        <f t="shared" si="0"/>
        <v>135</v>
      </c>
      <c r="R19" s="7" t="s">
        <v>310</v>
      </c>
    </row>
    <row r="20" spans="1:18" x14ac:dyDescent="0.25">
      <c r="A20" s="7">
        <v>16</v>
      </c>
      <c r="B20" s="7">
        <v>1</v>
      </c>
      <c r="C20" s="7" t="s">
        <v>49</v>
      </c>
      <c r="D20" s="7" t="s">
        <v>50</v>
      </c>
      <c r="E20" s="11" t="s">
        <v>343</v>
      </c>
      <c r="F20" s="7" t="s">
        <v>43</v>
      </c>
      <c r="G20" s="12" t="s">
        <v>373</v>
      </c>
      <c r="H20" s="4" t="s">
        <v>374</v>
      </c>
      <c r="I20" s="11"/>
      <c r="J20" s="11"/>
      <c r="K20" s="3" t="s">
        <v>373</v>
      </c>
      <c r="L20" s="3" t="s">
        <v>375</v>
      </c>
      <c r="M20" s="7" t="s">
        <v>52</v>
      </c>
      <c r="N20" s="11"/>
      <c r="O20" s="11"/>
      <c r="P20" s="7">
        <v>33</v>
      </c>
      <c r="Q20" s="7">
        <f t="shared" si="0"/>
        <v>165</v>
      </c>
      <c r="R20" s="7" t="s">
        <v>345</v>
      </c>
    </row>
    <row r="21" spans="1:18" x14ac:dyDescent="0.25">
      <c r="A21" s="7">
        <v>17</v>
      </c>
      <c r="B21" s="7">
        <v>1</v>
      </c>
      <c r="C21" s="7" t="s">
        <v>53</v>
      </c>
      <c r="D21" s="7" t="s">
        <v>54</v>
      </c>
      <c r="E21" s="11" t="s">
        <v>342</v>
      </c>
      <c r="F21" s="7" t="s">
        <v>55</v>
      </c>
      <c r="G21" s="4" t="s">
        <v>376</v>
      </c>
      <c r="H21" s="4" t="s">
        <v>377</v>
      </c>
      <c r="I21" s="11" t="s">
        <v>378</v>
      </c>
      <c r="J21" s="4" t="s">
        <v>379</v>
      </c>
      <c r="K21" s="11"/>
      <c r="L21" s="11"/>
      <c r="M21" s="7" t="s">
        <v>56</v>
      </c>
      <c r="N21" s="11"/>
      <c r="O21" s="11"/>
      <c r="P21" s="7">
        <v>9</v>
      </c>
      <c r="Q21" s="7">
        <f t="shared" si="0"/>
        <v>45</v>
      </c>
      <c r="R21" s="7" t="s">
        <v>310</v>
      </c>
    </row>
    <row r="22" spans="1:18" x14ac:dyDescent="0.25">
      <c r="A22" s="7">
        <v>18</v>
      </c>
      <c r="B22" s="7">
        <v>1</v>
      </c>
      <c r="C22" s="7" t="s">
        <v>57</v>
      </c>
      <c r="D22" s="7" t="s">
        <v>58</v>
      </c>
      <c r="E22" s="11" t="s">
        <v>323</v>
      </c>
      <c r="F22" s="7" t="s">
        <v>60</v>
      </c>
      <c r="G22" s="4" t="s">
        <v>382</v>
      </c>
      <c r="H22" s="4" t="s">
        <v>383</v>
      </c>
      <c r="I22" s="11" t="s">
        <v>381</v>
      </c>
      <c r="J22" s="11" t="s">
        <v>380</v>
      </c>
      <c r="K22" s="11"/>
      <c r="L22" s="11"/>
      <c r="M22" s="7" t="s">
        <v>61</v>
      </c>
      <c r="N22" s="11"/>
      <c r="O22" s="11"/>
      <c r="P22" s="7">
        <v>5</v>
      </c>
      <c r="Q22" s="7">
        <f t="shared" si="0"/>
        <v>25</v>
      </c>
      <c r="R22" s="7" t="s">
        <v>310</v>
      </c>
    </row>
    <row r="23" spans="1:18" x14ac:dyDescent="0.25">
      <c r="A23" s="7">
        <v>19</v>
      </c>
      <c r="B23" s="7">
        <v>1</v>
      </c>
      <c r="C23" s="7" t="s">
        <v>62</v>
      </c>
      <c r="D23" s="7" t="s">
        <v>63</v>
      </c>
      <c r="E23" s="11" t="s">
        <v>324</v>
      </c>
      <c r="F23" s="7" t="s">
        <v>64</v>
      </c>
      <c r="G23" s="3" t="s">
        <v>384</v>
      </c>
      <c r="H23" s="3" t="s">
        <v>385</v>
      </c>
      <c r="I23" s="3">
        <v>1463194</v>
      </c>
      <c r="J23" s="3" t="s">
        <v>386</v>
      </c>
      <c r="K23" s="11"/>
      <c r="L23" s="11"/>
      <c r="M23" s="7" t="s">
        <v>65</v>
      </c>
      <c r="N23" s="11"/>
      <c r="O23" s="11"/>
      <c r="P23" s="7">
        <v>289</v>
      </c>
      <c r="Q23" s="7">
        <f t="shared" si="0"/>
        <v>1445</v>
      </c>
      <c r="R23" s="7" t="s">
        <v>390</v>
      </c>
    </row>
    <row r="24" spans="1:18" x14ac:dyDescent="0.25">
      <c r="A24" s="7">
        <v>20</v>
      </c>
      <c r="B24" s="7">
        <v>1</v>
      </c>
      <c r="C24" s="7" t="s">
        <v>66</v>
      </c>
      <c r="D24" s="7" t="s">
        <v>67</v>
      </c>
      <c r="E24" s="11" t="s">
        <v>325</v>
      </c>
      <c r="F24" s="7" t="s">
        <v>68</v>
      </c>
      <c r="G24" s="12" t="s">
        <v>387</v>
      </c>
      <c r="H24" s="8" t="s">
        <v>388</v>
      </c>
      <c r="I24" s="12">
        <v>1897412</v>
      </c>
      <c r="J24" s="3" t="s">
        <v>389</v>
      </c>
      <c r="K24" s="11"/>
      <c r="L24" s="11"/>
      <c r="M24" s="7" t="s">
        <v>69</v>
      </c>
      <c r="N24" s="11"/>
      <c r="O24" s="11"/>
      <c r="P24" s="7">
        <v>10</v>
      </c>
      <c r="Q24" s="7">
        <f t="shared" si="0"/>
        <v>50</v>
      </c>
      <c r="R24" s="7" t="s">
        <v>310</v>
      </c>
    </row>
    <row r="25" spans="1:18" x14ac:dyDescent="0.25">
      <c r="A25" s="7">
        <v>21</v>
      </c>
      <c r="B25" s="7">
        <v>1</v>
      </c>
      <c r="C25" s="7" t="s">
        <v>70</v>
      </c>
      <c r="D25" s="7" t="s">
        <v>71</v>
      </c>
      <c r="E25" s="11" t="s">
        <v>340</v>
      </c>
      <c r="F25" s="7" t="s">
        <v>72</v>
      </c>
      <c r="G25" s="12" t="s">
        <v>391</v>
      </c>
      <c r="H25" s="8" t="s">
        <v>392</v>
      </c>
      <c r="I25" s="12">
        <v>555698</v>
      </c>
      <c r="J25" s="8" t="s">
        <v>393</v>
      </c>
      <c r="K25" s="8"/>
      <c r="L25" s="8"/>
      <c r="M25" s="7" t="s">
        <v>73</v>
      </c>
      <c r="N25" s="11"/>
      <c r="O25" s="11"/>
      <c r="P25" s="7">
        <v>7</v>
      </c>
      <c r="Q25" s="7">
        <f t="shared" si="0"/>
        <v>35</v>
      </c>
      <c r="R25" s="7"/>
    </row>
    <row r="26" spans="1:18" x14ac:dyDescent="0.25">
      <c r="A26" s="7">
        <v>22</v>
      </c>
      <c r="B26" s="7">
        <v>1</v>
      </c>
      <c r="C26" s="7" t="s">
        <v>277</v>
      </c>
      <c r="D26" s="7" t="s">
        <v>278</v>
      </c>
      <c r="E26" s="11" t="s">
        <v>341</v>
      </c>
      <c r="F26" s="7" t="s">
        <v>279</v>
      </c>
      <c r="G26" s="12" t="s">
        <v>278</v>
      </c>
      <c r="H26" s="8" t="s">
        <v>297</v>
      </c>
      <c r="I26" s="11"/>
      <c r="J26" s="11"/>
      <c r="K26" s="11"/>
      <c r="L26" s="11"/>
      <c r="M26" s="7"/>
      <c r="N26" s="11"/>
      <c r="O26" s="11"/>
      <c r="P26" s="7">
        <v>135</v>
      </c>
      <c r="Q26" s="7">
        <f t="shared" si="0"/>
        <v>675</v>
      </c>
      <c r="R26" s="7" t="s">
        <v>345</v>
      </c>
    </row>
    <row r="27" spans="1:18" x14ac:dyDescent="0.25">
      <c r="A27" s="7">
        <v>23</v>
      </c>
      <c r="B27" s="7">
        <v>1</v>
      </c>
      <c r="C27" s="7" t="s">
        <v>74</v>
      </c>
      <c r="D27" s="7" t="s">
        <v>75</v>
      </c>
      <c r="E27" s="15" t="s">
        <v>324</v>
      </c>
      <c r="F27" s="7" t="s">
        <v>76</v>
      </c>
      <c r="G27" s="3" t="s">
        <v>394</v>
      </c>
      <c r="H27" s="3" t="s">
        <v>385</v>
      </c>
      <c r="I27" s="3">
        <v>1463194</v>
      </c>
      <c r="J27" s="3" t="s">
        <v>386</v>
      </c>
      <c r="K27" s="11"/>
      <c r="L27" s="11"/>
      <c r="M27" s="7" t="s">
        <v>77</v>
      </c>
      <c r="N27" s="11"/>
      <c r="O27" s="11"/>
      <c r="P27" s="7">
        <v>289</v>
      </c>
      <c r="Q27" s="7">
        <v>0</v>
      </c>
      <c r="R27" s="7" t="s">
        <v>390</v>
      </c>
    </row>
    <row r="28" spans="1:18" x14ac:dyDescent="0.25">
      <c r="A28" s="7">
        <v>24</v>
      </c>
      <c r="B28" s="7">
        <v>1</v>
      </c>
      <c r="C28" s="7" t="s">
        <v>78</v>
      </c>
      <c r="D28" s="7" t="s">
        <v>79</v>
      </c>
      <c r="E28" s="11" t="s">
        <v>324</v>
      </c>
      <c r="F28" s="7" t="s">
        <v>80</v>
      </c>
      <c r="G28" s="3" t="s">
        <v>395</v>
      </c>
      <c r="H28" s="3" t="s">
        <v>385</v>
      </c>
      <c r="I28" s="3">
        <v>1463194</v>
      </c>
      <c r="J28" s="3" t="s">
        <v>386</v>
      </c>
      <c r="K28" s="11"/>
      <c r="L28" s="11"/>
      <c r="M28" s="7" t="s">
        <v>81</v>
      </c>
      <c r="N28" s="11"/>
      <c r="O28" s="11"/>
      <c r="P28" s="7">
        <v>289</v>
      </c>
      <c r="Q28" s="7">
        <v>0</v>
      </c>
      <c r="R28" s="7" t="s">
        <v>390</v>
      </c>
    </row>
    <row r="29" spans="1:18" x14ac:dyDescent="0.25">
      <c r="A29" s="7">
        <v>25</v>
      </c>
      <c r="B29" s="7">
        <v>1</v>
      </c>
      <c r="C29" s="7" t="s">
        <v>82</v>
      </c>
      <c r="D29" s="7" t="s">
        <v>83</v>
      </c>
      <c r="E29" s="11" t="s">
        <v>88</v>
      </c>
      <c r="F29" s="7" t="s">
        <v>84</v>
      </c>
      <c r="G29" s="4" t="s">
        <v>396</v>
      </c>
      <c r="H29" s="4" t="s">
        <v>397</v>
      </c>
      <c r="I29" s="4" t="s">
        <v>396</v>
      </c>
      <c r="J29" s="4" t="s">
        <v>397</v>
      </c>
      <c r="K29" s="11"/>
      <c r="L29" s="11"/>
      <c r="M29" s="7" t="s">
        <v>85</v>
      </c>
      <c r="N29" s="11"/>
      <c r="O29" s="11"/>
      <c r="P29" s="7">
        <v>99</v>
      </c>
      <c r="Q29" s="7">
        <f t="shared" si="0"/>
        <v>495</v>
      </c>
      <c r="R29" s="7" t="s">
        <v>345</v>
      </c>
    </row>
    <row r="30" spans="1:18" x14ac:dyDescent="0.25">
      <c r="A30" s="7">
        <v>26</v>
      </c>
      <c r="B30" s="7">
        <v>1</v>
      </c>
      <c r="C30" s="7" t="s">
        <v>86</v>
      </c>
      <c r="D30" s="7" t="s">
        <v>87</v>
      </c>
      <c r="E30" s="11" t="s">
        <v>88</v>
      </c>
      <c r="F30" s="7" t="s">
        <v>84</v>
      </c>
      <c r="G30" s="4">
        <v>744877101</v>
      </c>
      <c r="H30" s="13" t="s">
        <v>398</v>
      </c>
      <c r="I30" s="4">
        <v>744877101</v>
      </c>
      <c r="J30" s="4" t="s">
        <v>398</v>
      </c>
      <c r="K30" s="11"/>
      <c r="L30" s="11"/>
      <c r="M30" s="7" t="s">
        <v>88</v>
      </c>
      <c r="N30" s="11"/>
      <c r="O30" s="11"/>
      <c r="P30" s="7">
        <v>81</v>
      </c>
      <c r="Q30" s="7">
        <f t="shared" si="0"/>
        <v>405</v>
      </c>
      <c r="R30" s="7" t="s">
        <v>345</v>
      </c>
    </row>
    <row r="31" spans="1:18" x14ac:dyDescent="0.25">
      <c r="A31" s="7">
        <v>27</v>
      </c>
      <c r="B31" s="7">
        <v>1</v>
      </c>
      <c r="C31" s="7" t="s">
        <v>89</v>
      </c>
      <c r="D31" s="7" t="s">
        <v>90</v>
      </c>
      <c r="E31" s="11"/>
      <c r="F31" s="7" t="s">
        <v>92</v>
      </c>
      <c r="G31" s="11" t="s">
        <v>90</v>
      </c>
      <c r="H31" s="11" t="s">
        <v>399</v>
      </c>
      <c r="I31" s="11"/>
      <c r="J31" s="11"/>
      <c r="K31" s="11" t="s">
        <v>90</v>
      </c>
      <c r="L31" s="11" t="s">
        <v>399</v>
      </c>
      <c r="M31" s="7" t="s">
        <v>93</v>
      </c>
      <c r="N31" s="11"/>
      <c r="O31" s="11"/>
      <c r="P31" s="7">
        <v>321</v>
      </c>
      <c r="Q31" s="7">
        <f t="shared" si="0"/>
        <v>1605</v>
      </c>
      <c r="R31" s="7" t="s">
        <v>345</v>
      </c>
    </row>
    <row r="32" spans="1:18" x14ac:dyDescent="0.25">
      <c r="A32" s="7">
        <v>28</v>
      </c>
      <c r="B32" s="7">
        <v>3</v>
      </c>
      <c r="C32" s="7" t="s">
        <v>283</v>
      </c>
      <c r="D32" s="7" t="s">
        <v>94</v>
      </c>
      <c r="E32" s="11" t="s">
        <v>339</v>
      </c>
      <c r="F32" s="7" t="s">
        <v>24</v>
      </c>
      <c r="G32" s="11" t="s">
        <v>402</v>
      </c>
      <c r="H32" s="11" t="s">
        <v>306</v>
      </c>
      <c r="I32" s="11" t="s">
        <v>400</v>
      </c>
      <c r="J32" s="11" t="s">
        <v>401</v>
      </c>
      <c r="K32" s="11"/>
      <c r="L32" s="11"/>
      <c r="M32" s="7" t="s">
        <v>95</v>
      </c>
      <c r="N32" s="11"/>
      <c r="O32" s="11"/>
      <c r="P32" s="7">
        <v>3</v>
      </c>
      <c r="Q32" s="7">
        <f t="shared" si="0"/>
        <v>45</v>
      </c>
      <c r="R32" s="7" t="s">
        <v>310</v>
      </c>
    </row>
    <row r="33" spans="1:18" x14ac:dyDescent="0.25">
      <c r="A33" s="7">
        <v>29</v>
      </c>
      <c r="B33" s="7">
        <v>9</v>
      </c>
      <c r="C33" s="7" t="s">
        <v>284</v>
      </c>
      <c r="D33" s="7" t="s">
        <v>106</v>
      </c>
      <c r="E33" s="11" t="s">
        <v>339</v>
      </c>
      <c r="F33" s="7" t="s">
        <v>24</v>
      </c>
      <c r="G33" s="11"/>
      <c r="H33" s="11"/>
      <c r="I33" s="11" t="s">
        <v>403</v>
      </c>
      <c r="J33" s="11" t="s">
        <v>404</v>
      </c>
      <c r="K33" s="11"/>
      <c r="L33" s="11"/>
      <c r="M33" s="7" t="s">
        <v>95</v>
      </c>
      <c r="N33" s="11"/>
      <c r="O33" s="11"/>
      <c r="P33" s="7">
        <v>0.72</v>
      </c>
      <c r="Q33" s="7">
        <f t="shared" si="0"/>
        <v>32.4</v>
      </c>
      <c r="R33" s="7" t="s">
        <v>310</v>
      </c>
    </row>
    <row r="34" spans="1:18" x14ac:dyDescent="0.25">
      <c r="A34" s="7">
        <v>30</v>
      </c>
      <c r="B34" s="7">
        <v>4</v>
      </c>
      <c r="C34" s="7" t="s">
        <v>96</v>
      </c>
      <c r="D34" s="7" t="s">
        <v>285</v>
      </c>
      <c r="E34" s="11" t="s">
        <v>339</v>
      </c>
      <c r="F34" s="7" t="s">
        <v>24</v>
      </c>
      <c r="G34" s="11"/>
      <c r="H34" s="11"/>
      <c r="I34" s="11" t="s">
        <v>406</v>
      </c>
      <c r="J34" s="11" t="s">
        <v>405</v>
      </c>
      <c r="K34" s="11"/>
      <c r="L34" s="11"/>
      <c r="M34" s="7" t="s">
        <v>95</v>
      </c>
      <c r="N34" s="11"/>
      <c r="O34" s="11"/>
      <c r="P34" s="7">
        <v>1.75</v>
      </c>
      <c r="Q34" s="7">
        <f t="shared" si="0"/>
        <v>35</v>
      </c>
      <c r="R34" s="7" t="s">
        <v>310</v>
      </c>
    </row>
    <row r="35" spans="1:18" x14ac:dyDescent="0.25">
      <c r="A35" s="7">
        <v>31</v>
      </c>
      <c r="B35" s="7">
        <v>5</v>
      </c>
      <c r="C35" s="7" t="s">
        <v>286</v>
      </c>
      <c r="D35" s="7" t="s">
        <v>103</v>
      </c>
      <c r="E35" s="11" t="s">
        <v>339</v>
      </c>
      <c r="F35" s="7" t="s">
        <v>24</v>
      </c>
      <c r="G35" s="11"/>
      <c r="H35" s="11"/>
      <c r="I35" s="11" t="s">
        <v>408</v>
      </c>
      <c r="J35" s="11" t="s">
        <v>407</v>
      </c>
      <c r="K35" s="11"/>
      <c r="L35" s="11"/>
      <c r="M35" s="7" t="s">
        <v>95</v>
      </c>
      <c r="N35" s="11"/>
      <c r="O35" s="11"/>
      <c r="P35" s="7">
        <v>0.72</v>
      </c>
      <c r="Q35" s="7">
        <f t="shared" si="0"/>
        <v>18</v>
      </c>
      <c r="R35" s="7" t="s">
        <v>310</v>
      </c>
    </row>
    <row r="36" spans="1:18" x14ac:dyDescent="0.25">
      <c r="A36" s="7">
        <v>32</v>
      </c>
      <c r="B36" s="7">
        <v>2</v>
      </c>
      <c r="C36" s="7" t="s">
        <v>98</v>
      </c>
      <c r="D36" s="7" t="s">
        <v>287</v>
      </c>
      <c r="E36" s="11" t="s">
        <v>339</v>
      </c>
      <c r="F36" s="7" t="s">
        <v>24</v>
      </c>
      <c r="G36" s="11"/>
      <c r="H36" s="11"/>
      <c r="I36" s="11" t="s">
        <v>409</v>
      </c>
      <c r="J36" s="11" t="s">
        <v>410</v>
      </c>
      <c r="K36" s="11"/>
      <c r="L36" s="11"/>
      <c r="M36" s="7" t="s">
        <v>95</v>
      </c>
      <c r="N36" s="11"/>
      <c r="O36" s="11"/>
      <c r="P36" s="7">
        <v>2</v>
      </c>
      <c r="Q36" s="7">
        <f t="shared" si="0"/>
        <v>20</v>
      </c>
      <c r="R36" s="7" t="s">
        <v>310</v>
      </c>
    </row>
    <row r="37" spans="1:18" x14ac:dyDescent="0.25">
      <c r="A37" s="7">
        <v>33</v>
      </c>
      <c r="B37" s="7">
        <v>1</v>
      </c>
      <c r="C37" s="7" t="s">
        <v>99</v>
      </c>
      <c r="D37" s="7" t="s">
        <v>288</v>
      </c>
      <c r="E37" s="11" t="s">
        <v>339</v>
      </c>
      <c r="F37" s="7" t="s">
        <v>24</v>
      </c>
      <c r="G37" s="11"/>
      <c r="H37" s="11"/>
      <c r="I37" s="11" t="s">
        <v>411</v>
      </c>
      <c r="J37" s="11" t="s">
        <v>412</v>
      </c>
      <c r="K37" s="11"/>
      <c r="L37" s="11"/>
      <c r="M37" s="7" t="s">
        <v>95</v>
      </c>
      <c r="N37" s="11"/>
      <c r="O37" s="11"/>
      <c r="P37" s="7">
        <v>1</v>
      </c>
      <c r="Q37" s="7">
        <f t="shared" si="0"/>
        <v>5</v>
      </c>
      <c r="R37" s="7" t="s">
        <v>310</v>
      </c>
    </row>
    <row r="38" spans="1:18" x14ac:dyDescent="0.25">
      <c r="A38" s="7">
        <v>34</v>
      </c>
      <c r="B38" s="7">
        <v>2</v>
      </c>
      <c r="C38" s="7" t="s">
        <v>100</v>
      </c>
      <c r="D38" s="7" t="s">
        <v>101</v>
      </c>
      <c r="E38" s="11" t="s">
        <v>339</v>
      </c>
      <c r="F38" s="7" t="s">
        <v>24</v>
      </c>
      <c r="G38" s="11"/>
      <c r="H38" s="11"/>
      <c r="I38" s="11" t="s">
        <v>414</v>
      </c>
      <c r="J38" s="11" t="s">
        <v>413</v>
      </c>
      <c r="K38" s="11"/>
      <c r="L38" s="11"/>
      <c r="M38" s="7" t="s">
        <v>95</v>
      </c>
      <c r="N38" s="11"/>
      <c r="O38" s="11"/>
      <c r="P38" s="7">
        <v>0.2</v>
      </c>
      <c r="Q38" s="7">
        <f t="shared" si="0"/>
        <v>2</v>
      </c>
      <c r="R38" s="7" t="s">
        <v>310</v>
      </c>
    </row>
    <row r="39" spans="1:18" x14ac:dyDescent="0.25">
      <c r="A39" s="7">
        <v>35</v>
      </c>
      <c r="B39" s="7">
        <v>1</v>
      </c>
      <c r="C39" s="7" t="s">
        <v>102</v>
      </c>
      <c r="D39" s="7" t="s">
        <v>289</v>
      </c>
      <c r="E39" s="11" t="s">
        <v>339</v>
      </c>
      <c r="F39" s="7" t="s">
        <v>24</v>
      </c>
      <c r="G39" s="11"/>
      <c r="H39" s="11"/>
      <c r="I39" s="11" t="s">
        <v>415</v>
      </c>
      <c r="J39" s="11" t="s">
        <v>416</v>
      </c>
      <c r="K39" s="11"/>
      <c r="L39" s="11"/>
      <c r="M39" s="7" t="s">
        <v>95</v>
      </c>
      <c r="N39" s="11"/>
      <c r="O39" s="11"/>
      <c r="P39" s="7">
        <v>0.52</v>
      </c>
      <c r="Q39" s="7">
        <f t="shared" si="0"/>
        <v>2.6</v>
      </c>
      <c r="R39" s="7" t="s">
        <v>310</v>
      </c>
    </row>
    <row r="40" spans="1:18" x14ac:dyDescent="0.25">
      <c r="A40" s="7">
        <v>36</v>
      </c>
      <c r="B40" s="7">
        <v>4</v>
      </c>
      <c r="C40" s="7" t="s">
        <v>290</v>
      </c>
      <c r="D40" s="7" t="s">
        <v>223</v>
      </c>
      <c r="E40" s="11" t="s">
        <v>339</v>
      </c>
      <c r="F40" s="7" t="s">
        <v>24</v>
      </c>
      <c r="G40" s="11"/>
      <c r="H40" s="11"/>
      <c r="I40" s="11" t="s">
        <v>418</v>
      </c>
      <c r="J40" s="11" t="s">
        <v>417</v>
      </c>
      <c r="K40" s="11"/>
      <c r="L40" s="11"/>
      <c r="M40" s="7" t="s">
        <v>95</v>
      </c>
      <c r="N40" s="11"/>
      <c r="O40" s="11"/>
      <c r="P40" s="7">
        <v>0.72</v>
      </c>
      <c r="Q40" s="7">
        <f t="shared" si="0"/>
        <v>14.399999999999999</v>
      </c>
      <c r="R40" s="7" t="s">
        <v>310</v>
      </c>
    </row>
    <row r="41" spans="1:18" x14ac:dyDescent="0.25">
      <c r="A41" s="7">
        <v>37</v>
      </c>
      <c r="B41" s="7">
        <v>4</v>
      </c>
      <c r="C41" s="7" t="s">
        <v>280</v>
      </c>
      <c r="D41" s="7" t="s">
        <v>103</v>
      </c>
      <c r="E41" s="11" t="s">
        <v>339</v>
      </c>
      <c r="F41" s="7" t="s">
        <v>11</v>
      </c>
      <c r="G41" s="11"/>
      <c r="H41" s="11"/>
      <c r="I41" s="11" t="s">
        <v>408</v>
      </c>
      <c r="J41" s="11" t="s">
        <v>407</v>
      </c>
      <c r="K41" s="11"/>
      <c r="L41" s="11"/>
      <c r="M41" s="7" t="s">
        <v>95</v>
      </c>
      <c r="N41" s="11"/>
      <c r="O41" s="11"/>
      <c r="P41" s="7">
        <v>0.72</v>
      </c>
      <c r="Q41" s="7">
        <f t="shared" si="0"/>
        <v>14.399999999999999</v>
      </c>
      <c r="R41" s="7" t="s">
        <v>310</v>
      </c>
    </row>
    <row r="42" spans="1:18" x14ac:dyDescent="0.25">
      <c r="A42" s="7">
        <v>38</v>
      </c>
      <c r="B42" s="7">
        <v>1</v>
      </c>
      <c r="C42" s="7" t="s">
        <v>104</v>
      </c>
      <c r="D42" s="7" t="s">
        <v>291</v>
      </c>
      <c r="E42" s="11" t="s">
        <v>339</v>
      </c>
      <c r="F42" s="7" t="s">
        <v>24</v>
      </c>
      <c r="G42" s="11"/>
      <c r="H42" s="11"/>
      <c r="I42" s="11" t="s">
        <v>419</v>
      </c>
      <c r="J42" s="11" t="s">
        <v>420</v>
      </c>
      <c r="K42" s="11"/>
      <c r="L42" s="11"/>
      <c r="M42" s="7" t="s">
        <v>95</v>
      </c>
      <c r="N42" s="11"/>
      <c r="O42" s="11"/>
      <c r="P42" s="7">
        <v>0.35</v>
      </c>
      <c r="Q42" s="7">
        <f t="shared" si="0"/>
        <v>1.75</v>
      </c>
      <c r="R42" s="7" t="s">
        <v>310</v>
      </c>
    </row>
    <row r="43" spans="1:18" x14ac:dyDescent="0.25">
      <c r="A43" s="7">
        <v>39</v>
      </c>
      <c r="B43" s="7">
        <v>1</v>
      </c>
      <c r="C43" s="7" t="s">
        <v>105</v>
      </c>
      <c r="D43" s="7" t="s">
        <v>292</v>
      </c>
      <c r="E43" s="11" t="s">
        <v>339</v>
      </c>
      <c r="F43" s="7" t="s">
        <v>24</v>
      </c>
      <c r="G43" s="11"/>
      <c r="H43" s="11"/>
      <c r="I43" s="11" t="s">
        <v>422</v>
      </c>
      <c r="J43" s="11" t="s">
        <v>421</v>
      </c>
      <c r="K43" s="11"/>
      <c r="L43" s="11"/>
      <c r="M43" s="7" t="s">
        <v>95</v>
      </c>
      <c r="N43" s="11"/>
      <c r="O43" s="11"/>
      <c r="P43" s="7">
        <v>3</v>
      </c>
      <c r="Q43" s="7">
        <f t="shared" si="0"/>
        <v>15</v>
      </c>
      <c r="R43" s="7" t="s">
        <v>310</v>
      </c>
    </row>
    <row r="44" spans="1:18" x14ac:dyDescent="0.25">
      <c r="A44" s="7">
        <v>40</v>
      </c>
      <c r="B44" s="7">
        <v>2</v>
      </c>
      <c r="C44" s="7" t="s">
        <v>107</v>
      </c>
      <c r="D44" s="7" t="s">
        <v>293</v>
      </c>
      <c r="E44" s="11" t="s">
        <v>339</v>
      </c>
      <c r="F44" s="7" t="s">
        <v>24</v>
      </c>
      <c r="G44" s="11"/>
      <c r="H44" s="11"/>
      <c r="I44" s="11" t="s">
        <v>423</v>
      </c>
      <c r="J44" s="11" t="s">
        <v>424</v>
      </c>
      <c r="K44" s="11"/>
      <c r="L44" s="11"/>
      <c r="M44" s="7" t="s">
        <v>95</v>
      </c>
      <c r="N44" s="11"/>
      <c r="O44" s="11"/>
      <c r="P44" s="7">
        <v>0.52</v>
      </c>
      <c r="Q44" s="7">
        <f t="shared" si="0"/>
        <v>5.2</v>
      </c>
      <c r="R44" s="7" t="s">
        <v>310</v>
      </c>
    </row>
    <row r="45" spans="1:18" x14ac:dyDescent="0.25">
      <c r="A45" s="7">
        <v>41</v>
      </c>
      <c r="B45" s="7">
        <v>1</v>
      </c>
      <c r="C45" s="7" t="s">
        <v>108</v>
      </c>
      <c r="D45" s="7" t="s">
        <v>294</v>
      </c>
      <c r="E45" s="11" t="s">
        <v>339</v>
      </c>
      <c r="F45" s="7" t="s">
        <v>24</v>
      </c>
      <c r="G45" s="11"/>
      <c r="H45" s="11"/>
      <c r="I45" s="11" t="s">
        <v>425</v>
      </c>
      <c r="J45" s="11" t="s">
        <v>426</v>
      </c>
      <c r="K45" s="11"/>
      <c r="L45" s="11"/>
      <c r="M45" s="7" t="s">
        <v>95</v>
      </c>
      <c r="N45" s="11"/>
      <c r="O45" s="11"/>
      <c r="P45" s="7">
        <v>0.52</v>
      </c>
      <c r="Q45" s="7">
        <f t="shared" si="0"/>
        <v>2.6</v>
      </c>
      <c r="R45" s="7" t="s">
        <v>310</v>
      </c>
    </row>
    <row r="46" spans="1:18" x14ac:dyDescent="0.25">
      <c r="A46" s="7">
        <v>42</v>
      </c>
      <c r="B46" s="7">
        <v>1</v>
      </c>
      <c r="C46" s="7" t="s">
        <v>109</v>
      </c>
      <c r="D46" s="7" t="s">
        <v>295</v>
      </c>
      <c r="E46" s="11" t="s">
        <v>339</v>
      </c>
      <c r="F46" s="7" t="s">
        <v>24</v>
      </c>
      <c r="G46" s="11"/>
      <c r="H46" s="11"/>
      <c r="I46" s="11" t="s">
        <v>429</v>
      </c>
      <c r="J46" s="11" t="s">
        <v>430</v>
      </c>
      <c r="K46" s="11"/>
      <c r="L46" s="11"/>
      <c r="M46" s="7" t="s">
        <v>95</v>
      </c>
      <c r="N46" s="11"/>
      <c r="O46" s="11"/>
      <c r="P46" s="7">
        <v>0.2</v>
      </c>
      <c r="Q46" s="7">
        <f t="shared" si="0"/>
        <v>1</v>
      </c>
      <c r="R46" s="7" t="s">
        <v>310</v>
      </c>
    </row>
    <row r="47" spans="1:18" x14ac:dyDescent="0.25">
      <c r="A47" s="7">
        <v>43</v>
      </c>
      <c r="B47" s="7">
        <v>1</v>
      </c>
      <c r="C47" s="7" t="s">
        <v>110</v>
      </c>
      <c r="D47" s="7" t="s">
        <v>296</v>
      </c>
      <c r="E47" s="11" t="s">
        <v>339</v>
      </c>
      <c r="F47" s="7" t="s">
        <v>24</v>
      </c>
      <c r="G47" s="11"/>
      <c r="H47" s="11"/>
      <c r="I47" s="11" t="s">
        <v>427</v>
      </c>
      <c r="J47" s="11" t="s">
        <v>428</v>
      </c>
      <c r="K47" s="11"/>
      <c r="L47" s="11"/>
      <c r="M47" s="7" t="s">
        <v>95</v>
      </c>
      <c r="N47" s="11"/>
      <c r="O47" s="11"/>
      <c r="P47" s="7">
        <v>0.32</v>
      </c>
      <c r="Q47" s="7">
        <f t="shared" si="0"/>
        <v>1.6</v>
      </c>
      <c r="R47" s="7" t="s">
        <v>310</v>
      </c>
    </row>
    <row r="48" spans="1:18" x14ac:dyDescent="0.25">
      <c r="A48" s="7">
        <v>44</v>
      </c>
      <c r="B48" s="7">
        <v>1</v>
      </c>
      <c r="C48" s="7" t="s">
        <v>111</v>
      </c>
      <c r="D48" s="7" t="s">
        <v>112</v>
      </c>
      <c r="E48" s="11"/>
      <c r="F48" s="7" t="s">
        <v>113</v>
      </c>
      <c r="G48" s="16" t="s">
        <v>431</v>
      </c>
      <c r="H48" s="13" t="s">
        <v>432</v>
      </c>
      <c r="I48" s="16"/>
      <c r="J48" s="4"/>
      <c r="K48" s="11" t="s">
        <v>433</v>
      </c>
      <c r="L48" s="11" t="s">
        <v>434</v>
      </c>
      <c r="M48" s="7" t="s">
        <v>114</v>
      </c>
      <c r="N48" s="11"/>
      <c r="O48" s="11"/>
      <c r="P48" s="7">
        <v>40</v>
      </c>
      <c r="Q48" s="7">
        <f t="shared" si="0"/>
        <v>200</v>
      </c>
      <c r="R48" s="7" t="s">
        <v>345</v>
      </c>
    </row>
    <row r="49" spans="1:18" ht="30" x14ac:dyDescent="0.25">
      <c r="A49" s="7">
        <v>45</v>
      </c>
      <c r="B49" s="7">
        <v>1</v>
      </c>
      <c r="C49" s="7" t="s">
        <v>115</v>
      </c>
      <c r="D49" s="7" t="s">
        <v>116</v>
      </c>
      <c r="E49" s="11"/>
      <c r="F49" s="7" t="s">
        <v>117</v>
      </c>
      <c r="G49" s="11">
        <v>750311675</v>
      </c>
      <c r="H49" s="15" t="s">
        <v>435</v>
      </c>
      <c r="I49" s="11"/>
      <c r="J49" s="11"/>
      <c r="K49" s="11" t="s">
        <v>436</v>
      </c>
      <c r="L49" s="11" t="s">
        <v>437</v>
      </c>
      <c r="M49" s="7"/>
      <c r="N49" s="11"/>
      <c r="O49" s="11"/>
      <c r="P49" s="7">
        <v>794</v>
      </c>
      <c r="Q49" s="7">
        <f t="shared" si="0"/>
        <v>3970</v>
      </c>
      <c r="R49" s="7" t="s">
        <v>345</v>
      </c>
    </row>
    <row r="50" spans="1:18" x14ac:dyDescent="0.25">
      <c r="A50" s="7">
        <v>46</v>
      </c>
      <c r="B50" s="7">
        <v>1</v>
      </c>
      <c r="C50" s="7" t="s">
        <v>118</v>
      </c>
      <c r="D50" s="7" t="s">
        <v>119</v>
      </c>
      <c r="E50" s="11"/>
      <c r="F50" s="7" t="s">
        <v>121</v>
      </c>
      <c r="G50" s="3" t="s">
        <v>438</v>
      </c>
      <c r="H50" s="3" t="s">
        <v>439</v>
      </c>
      <c r="I50" s="3">
        <v>162012</v>
      </c>
      <c r="J50" s="3" t="s">
        <v>440</v>
      </c>
      <c r="K50" s="11"/>
      <c r="L50" s="11"/>
      <c r="M50" s="7" t="s">
        <v>122</v>
      </c>
      <c r="N50" s="11"/>
      <c r="O50" s="11"/>
      <c r="P50" s="7">
        <v>635</v>
      </c>
      <c r="Q50" s="7">
        <f t="shared" si="0"/>
        <v>3175</v>
      </c>
      <c r="R50" s="7" t="s">
        <v>310</v>
      </c>
    </row>
    <row r="51" spans="1:18" x14ac:dyDescent="0.25">
      <c r="A51" s="7">
        <v>47</v>
      </c>
      <c r="B51" s="7">
        <v>1</v>
      </c>
      <c r="C51" s="7" t="s">
        <v>123</v>
      </c>
      <c r="D51" s="7" t="s">
        <v>124</v>
      </c>
      <c r="E51" s="11"/>
      <c r="F51" s="7" t="s">
        <v>125</v>
      </c>
      <c r="G51" s="4" t="s">
        <v>454</v>
      </c>
      <c r="H51" s="13" t="s">
        <v>442</v>
      </c>
      <c r="I51" s="4" t="s">
        <v>454</v>
      </c>
      <c r="J51" s="4" t="s">
        <v>442</v>
      </c>
      <c r="K51" s="11"/>
      <c r="L51" s="11"/>
      <c r="M51" s="7"/>
      <c r="N51" s="11"/>
      <c r="O51" s="11"/>
      <c r="P51" s="7">
        <v>14</v>
      </c>
      <c r="Q51" s="7">
        <f t="shared" si="0"/>
        <v>70</v>
      </c>
      <c r="R51" s="7" t="s">
        <v>345</v>
      </c>
    </row>
    <row r="52" spans="1:18" x14ac:dyDescent="0.25">
      <c r="A52" s="7">
        <v>48</v>
      </c>
      <c r="B52" s="7">
        <v>1</v>
      </c>
      <c r="C52" s="7" t="s">
        <v>126</v>
      </c>
      <c r="D52" s="7" t="s">
        <v>127</v>
      </c>
      <c r="E52" s="11"/>
      <c r="F52" s="7" t="s">
        <v>129</v>
      </c>
      <c r="G52" s="3" t="s">
        <v>455</v>
      </c>
      <c r="H52" s="3" t="s">
        <v>456</v>
      </c>
      <c r="I52" s="12" t="s">
        <v>457</v>
      </c>
      <c r="J52" s="3" t="s">
        <v>458</v>
      </c>
      <c r="K52" s="11"/>
      <c r="L52" s="11"/>
      <c r="M52" s="7" t="s">
        <v>130</v>
      </c>
      <c r="N52" s="11"/>
      <c r="O52" s="11"/>
      <c r="P52" s="7">
        <v>31</v>
      </c>
      <c r="Q52" s="7">
        <f t="shared" si="0"/>
        <v>155</v>
      </c>
      <c r="R52" s="7" t="s">
        <v>310</v>
      </c>
    </row>
    <row r="53" spans="1:18" x14ac:dyDescent="0.25">
      <c r="A53" s="7">
        <v>49</v>
      </c>
      <c r="B53" s="7">
        <v>1</v>
      </c>
      <c r="C53" s="7" t="s">
        <v>131</v>
      </c>
      <c r="D53" s="7" t="s">
        <v>132</v>
      </c>
      <c r="E53" s="11"/>
      <c r="F53" s="7" t="s">
        <v>134</v>
      </c>
      <c r="G53" s="4" t="s">
        <v>441</v>
      </c>
      <c r="H53" s="4" t="s">
        <v>442</v>
      </c>
      <c r="I53" s="4">
        <v>1742492</v>
      </c>
      <c r="J53" s="4" t="s">
        <v>443</v>
      </c>
      <c r="K53" s="11"/>
      <c r="L53" s="11"/>
      <c r="M53" s="7" t="s">
        <v>135</v>
      </c>
      <c r="N53" s="11"/>
      <c r="O53" s="11"/>
      <c r="P53" s="7">
        <v>49</v>
      </c>
      <c r="Q53" s="7">
        <f t="shared" si="0"/>
        <v>245</v>
      </c>
      <c r="R53" s="7" t="s">
        <v>310</v>
      </c>
    </row>
    <row r="54" spans="1:18" x14ac:dyDescent="0.25">
      <c r="A54" s="7">
        <v>50</v>
      </c>
      <c r="B54" s="7">
        <v>1</v>
      </c>
      <c r="C54" s="7" t="s">
        <v>136</v>
      </c>
      <c r="D54" s="7" t="s">
        <v>137</v>
      </c>
      <c r="E54" s="11"/>
      <c r="F54" s="7" t="s">
        <v>139</v>
      </c>
      <c r="G54" s="4" t="s">
        <v>444</v>
      </c>
      <c r="H54" s="13" t="s">
        <v>445</v>
      </c>
      <c r="I54" s="4" t="s">
        <v>444</v>
      </c>
      <c r="J54" s="4" t="s">
        <v>445</v>
      </c>
      <c r="K54" s="11"/>
      <c r="L54" s="11"/>
      <c r="M54" s="7" t="s">
        <v>140</v>
      </c>
      <c r="N54" s="11"/>
      <c r="O54" s="11"/>
      <c r="P54" s="7">
        <v>76.319999999999993</v>
      </c>
      <c r="Q54" s="7">
        <f t="shared" si="0"/>
        <v>381.59999999999997</v>
      </c>
      <c r="R54" s="7" t="s">
        <v>345</v>
      </c>
    </row>
    <row r="55" spans="1:18" x14ac:dyDescent="0.25">
      <c r="A55" s="7">
        <v>51</v>
      </c>
      <c r="B55" s="7">
        <v>1</v>
      </c>
      <c r="C55" s="7" t="s">
        <v>141</v>
      </c>
      <c r="D55" s="7" t="s">
        <v>142</v>
      </c>
      <c r="E55" s="11"/>
      <c r="F55" s="7" t="s">
        <v>143</v>
      </c>
      <c r="G55" s="10" t="s">
        <v>142</v>
      </c>
      <c r="H55" s="13" t="s">
        <v>446</v>
      </c>
      <c r="I55" s="10" t="s">
        <v>142</v>
      </c>
      <c r="J55" s="4" t="s">
        <v>446</v>
      </c>
      <c r="K55" s="11"/>
      <c r="L55" s="11"/>
      <c r="M55" s="7"/>
      <c r="N55" s="11"/>
      <c r="O55" s="11"/>
      <c r="P55" s="7">
        <v>204.12</v>
      </c>
      <c r="Q55" s="7">
        <f t="shared" si="0"/>
        <v>1020.6</v>
      </c>
      <c r="R55" s="7" t="s">
        <v>345</v>
      </c>
    </row>
    <row r="56" spans="1:18" x14ac:dyDescent="0.25">
      <c r="A56" s="7">
        <v>52</v>
      </c>
      <c r="B56" s="7">
        <v>1</v>
      </c>
      <c r="C56" s="7" t="s">
        <v>144</v>
      </c>
      <c r="D56" s="7" t="s">
        <v>145</v>
      </c>
      <c r="E56" s="11"/>
      <c r="F56" s="7" t="s">
        <v>147</v>
      </c>
      <c r="G56" s="10" t="s">
        <v>447</v>
      </c>
      <c r="H56" s="4" t="s">
        <v>448</v>
      </c>
      <c r="I56" s="13" t="s">
        <v>449</v>
      </c>
      <c r="J56" s="4" t="s">
        <v>450</v>
      </c>
      <c r="K56" s="11"/>
      <c r="L56" s="11"/>
      <c r="M56" s="7" t="s">
        <v>148</v>
      </c>
      <c r="N56" s="11"/>
      <c r="O56" s="11"/>
      <c r="P56" s="7">
        <v>316</v>
      </c>
      <c r="Q56" s="7">
        <f t="shared" si="0"/>
        <v>1580</v>
      </c>
      <c r="R56" s="7" t="s">
        <v>310</v>
      </c>
    </row>
    <row r="57" spans="1:18" x14ac:dyDescent="0.25">
      <c r="A57" s="7">
        <v>53</v>
      </c>
      <c r="B57" s="7">
        <v>1</v>
      </c>
      <c r="C57" s="7" t="s">
        <v>149</v>
      </c>
      <c r="D57" s="7" t="s">
        <v>150</v>
      </c>
      <c r="E57" s="11"/>
      <c r="F57" s="7" t="s">
        <v>147</v>
      </c>
      <c r="G57" s="8" t="s">
        <v>451</v>
      </c>
      <c r="H57" s="11" t="s">
        <v>448</v>
      </c>
      <c r="I57" s="11"/>
      <c r="J57" s="11"/>
      <c r="K57" s="11" t="s">
        <v>451</v>
      </c>
      <c r="L57" s="11" t="s">
        <v>463</v>
      </c>
      <c r="M57" s="7" t="s">
        <v>152</v>
      </c>
      <c r="N57" s="11"/>
      <c r="O57" s="11"/>
      <c r="P57" s="7">
        <v>598</v>
      </c>
      <c r="Q57" s="7">
        <f t="shared" si="0"/>
        <v>2990</v>
      </c>
      <c r="R57" s="7" t="s">
        <v>345</v>
      </c>
    </row>
    <row r="58" spans="1:18" x14ac:dyDescent="0.25">
      <c r="A58" s="7">
        <v>54</v>
      </c>
      <c r="B58" s="7">
        <v>1</v>
      </c>
      <c r="C58" s="7" t="s">
        <v>153</v>
      </c>
      <c r="D58" s="7" t="s">
        <v>154</v>
      </c>
      <c r="E58" s="11"/>
      <c r="F58" s="7" t="s">
        <v>156</v>
      </c>
      <c r="G58" s="11" t="s">
        <v>154</v>
      </c>
      <c r="H58" s="11" t="s">
        <v>445</v>
      </c>
      <c r="I58" s="11"/>
      <c r="J58" s="11"/>
      <c r="K58" s="11" t="s">
        <v>459</v>
      </c>
      <c r="L58" s="11" t="s">
        <v>460</v>
      </c>
      <c r="M58" s="7"/>
      <c r="N58" s="11"/>
      <c r="O58" s="11"/>
      <c r="P58" s="7">
        <v>103</v>
      </c>
      <c r="Q58" s="7">
        <f t="shared" si="0"/>
        <v>515</v>
      </c>
      <c r="R58" s="7" t="s">
        <v>345</v>
      </c>
    </row>
    <row r="59" spans="1:18" x14ac:dyDescent="0.25">
      <c r="A59" s="7">
        <v>55</v>
      </c>
      <c r="B59" s="7">
        <v>1</v>
      </c>
      <c r="C59" s="7" t="s">
        <v>157</v>
      </c>
      <c r="D59" s="7" t="s">
        <v>158</v>
      </c>
      <c r="E59" s="11"/>
      <c r="F59" s="7" t="s">
        <v>160</v>
      </c>
      <c r="G59" s="11" t="s">
        <v>452</v>
      </c>
      <c r="H59" s="11" t="s">
        <v>453</v>
      </c>
      <c r="I59" s="11"/>
      <c r="J59" s="11"/>
      <c r="K59" s="11" t="s">
        <v>461</v>
      </c>
      <c r="L59" s="11" t="s">
        <v>462</v>
      </c>
      <c r="M59" s="7" t="s">
        <v>161</v>
      </c>
      <c r="N59" s="11"/>
      <c r="O59" s="11"/>
      <c r="P59" s="7">
        <v>30</v>
      </c>
      <c r="Q59" s="7">
        <f t="shared" si="0"/>
        <v>150</v>
      </c>
      <c r="R59" s="7" t="s">
        <v>345</v>
      </c>
    </row>
    <row r="60" spans="1:18" x14ac:dyDescent="0.25">
      <c r="A60">
        <v>56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t="s">
        <v>543</v>
      </c>
      <c r="Q60">
        <f>SUM(Q5:Q59)</f>
        <v>21145.505000000001</v>
      </c>
    </row>
    <row r="61" spans="1:18" x14ac:dyDescent="0.25">
      <c r="A61">
        <v>57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8" x14ac:dyDescent="0.25">
      <c r="A62">
        <v>58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8" x14ac:dyDescent="0.25">
      <c r="A63">
        <v>59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8" x14ac:dyDescent="0.25">
      <c r="A64">
        <v>60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</sheetData>
  <mergeCells count="1">
    <mergeCell ref="B1:M2"/>
  </mergeCells>
  <hyperlinks>
    <hyperlink ref="H26" r:id="rId1" display="https://www.mouser.in/manufacturer/harwin/"/>
    <hyperlink ref="H13" r:id="rId2" display="https://www.mouser.in/manufacturer/vitramon/"/>
    <hyperlink ref="G5" r:id="rId3" display="https://www.mouser.in/ProductDetail/YAGEO/AC0805KRX7R7BB104?qs=sGAEpiMZZMukHu%252BjC5l7YWFdFy%252Bfu6GWDe4ay%252BalAUI%3D"/>
    <hyperlink ref="H16" r:id="rId4" display="https://www.mouser.in/manufacturer/microchip/"/>
    <hyperlink ref="H24" r:id="rId5" display="https://www.mouser.in/manufacturer/amphenolcommercial/"/>
    <hyperlink ref="H25" r:id="rId6" display="https://www.mouser.in/manufacturer/chipquik/"/>
    <hyperlink ref="J25" r:id="rId7" display="https://www.mouser.in/manufacturer/chipquik/"/>
    <hyperlink ref="H30" r:id="rId8" display="https://www.mouser.in/manufacturer/wurth-elektronik/"/>
    <hyperlink ref="H48" r:id="rId9" display="https://in.element14.com/c/circuit-protection/tvs-transient-voltage-suppressors/tvs-varistors/prl/results?brand=bourns"/>
    <hyperlink ref="H54" r:id="rId10" display="https://www.mouser.in/manufacturer/texas-instruments/"/>
    <hyperlink ref="H55" r:id="rId11" display="https://www.mouser.in/manufacturer/vishaysemiconductors/"/>
    <hyperlink ref="I56" r:id="rId12" display="https://www.mouser.in/ProductDetail/700-DS3231M%2bTRL"/>
    <hyperlink ref="G57" r:id="rId13" display="https://www.mouser.in/ProductDetail/Analog-Devices/ADUM1300BRWZ-RL?qs=WIvQP4zGanjXivd8w9s%252BrQ%3D%3D"/>
    <hyperlink ref="H51" r:id="rId14" display="https://www.mouser.in/manufacturer/stmicroelectronics/"/>
  </hyperlinks>
  <pageMargins left="0.7" right="0.7" top="0.75" bottom="0.75" header="0.3" footer="0.3"/>
  <pageSetup paperSize="9" orientation="portrait" horizontalDpi="4294967293" verticalDpi="0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opLeftCell="A15" workbookViewId="0">
      <selection activeCell="P51" sqref="P51"/>
    </sheetView>
  </sheetViews>
  <sheetFormatPr defaultRowHeight="15" x14ac:dyDescent="0.25"/>
  <cols>
    <col min="6" max="6" width="73.5703125" bestFit="1" customWidth="1"/>
    <col min="18" max="18" width="14.28515625" bestFit="1" customWidth="1"/>
  </cols>
  <sheetData>
    <row r="1" spans="1:19" x14ac:dyDescent="0.25">
      <c r="A1" s="1"/>
      <c r="B1" s="17" t="s">
        <v>259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</row>
    <row r="2" spans="1:19" x14ac:dyDescent="0.25">
      <c r="A2" s="1"/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1"/>
      <c r="O2" s="1"/>
    </row>
    <row r="3" spans="1:19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9" ht="15.75" thickTop="1" x14ac:dyDescent="0.25">
      <c r="A4" s="6" t="s">
        <v>260</v>
      </c>
      <c r="B4" s="6" t="s">
        <v>261</v>
      </c>
      <c r="C4" s="6" t="s">
        <v>0</v>
      </c>
      <c r="D4" s="6" t="s">
        <v>1</v>
      </c>
      <c r="E4" s="6" t="s">
        <v>262</v>
      </c>
      <c r="F4" s="6" t="s">
        <v>263</v>
      </c>
      <c r="G4" s="6" t="s">
        <v>264</v>
      </c>
      <c r="H4" s="6" t="s">
        <v>265</v>
      </c>
      <c r="I4" s="6" t="s">
        <v>266</v>
      </c>
      <c r="J4" s="6" t="s">
        <v>267</v>
      </c>
      <c r="K4" s="6" t="s">
        <v>311</v>
      </c>
      <c r="L4" s="6" t="s">
        <v>312</v>
      </c>
      <c r="M4" s="6" t="s">
        <v>6</v>
      </c>
      <c r="N4" s="6" t="s">
        <v>268</v>
      </c>
      <c r="O4" s="6" t="s">
        <v>269</v>
      </c>
      <c r="P4" s="6" t="s">
        <v>307</v>
      </c>
      <c r="Q4" s="6" t="s">
        <v>308</v>
      </c>
      <c r="R4" s="6" t="s">
        <v>309</v>
      </c>
      <c r="S4" s="5"/>
    </row>
    <row r="5" spans="1:19" x14ac:dyDescent="0.25">
      <c r="A5" s="7">
        <v>1</v>
      </c>
      <c r="B5" s="7">
        <v>1</v>
      </c>
      <c r="C5" s="7" t="s">
        <v>7</v>
      </c>
      <c r="D5" s="7" t="s">
        <v>162</v>
      </c>
      <c r="E5" s="7"/>
      <c r="F5" s="7" t="s">
        <v>163</v>
      </c>
      <c r="G5" s="3" t="s">
        <v>465</v>
      </c>
      <c r="H5" s="3" t="s">
        <v>466</v>
      </c>
      <c r="I5" s="3">
        <v>470829</v>
      </c>
      <c r="J5" s="3" t="s">
        <v>467</v>
      </c>
      <c r="K5" s="7"/>
      <c r="L5" s="7"/>
      <c r="M5" s="7"/>
      <c r="N5" s="7"/>
      <c r="O5" s="7"/>
      <c r="P5" s="7">
        <v>10</v>
      </c>
      <c r="Q5" s="7">
        <f>P5*B5*5</f>
        <v>50</v>
      </c>
      <c r="R5" s="7" t="s">
        <v>310</v>
      </c>
    </row>
    <row r="6" spans="1:19" x14ac:dyDescent="0.25">
      <c r="A6" s="7">
        <v>2</v>
      </c>
      <c r="B6" s="7">
        <v>2</v>
      </c>
      <c r="C6" s="7" t="s">
        <v>164</v>
      </c>
      <c r="D6" s="7" t="s">
        <v>165</v>
      </c>
      <c r="E6" s="7"/>
      <c r="F6" s="7" t="s">
        <v>166</v>
      </c>
      <c r="G6" s="7" t="s">
        <v>470</v>
      </c>
      <c r="H6" s="8" t="s">
        <v>471</v>
      </c>
      <c r="I6" s="9" t="s">
        <v>468</v>
      </c>
      <c r="J6" s="7" t="s">
        <v>469</v>
      </c>
      <c r="K6" s="7"/>
      <c r="L6" s="7"/>
      <c r="M6" s="7"/>
      <c r="N6" s="7"/>
      <c r="O6" s="7"/>
      <c r="P6" s="7">
        <v>131</v>
      </c>
      <c r="Q6" s="7">
        <f t="shared" ref="Q6:Q50" si="0">P6*B6*5</f>
        <v>1310</v>
      </c>
      <c r="R6" s="7" t="s">
        <v>310</v>
      </c>
    </row>
    <row r="7" spans="1:19" x14ac:dyDescent="0.25">
      <c r="A7" s="7">
        <v>3</v>
      </c>
      <c r="B7" s="7">
        <v>21</v>
      </c>
      <c r="C7" s="7" t="s">
        <v>167</v>
      </c>
      <c r="D7" s="7" t="s">
        <v>9</v>
      </c>
      <c r="E7" s="7"/>
      <c r="F7" s="7" t="s">
        <v>11</v>
      </c>
      <c r="G7" s="8" t="s">
        <v>305</v>
      </c>
      <c r="H7" s="7" t="s">
        <v>306</v>
      </c>
      <c r="I7" s="7"/>
      <c r="J7" s="10"/>
      <c r="K7" s="7" t="s">
        <v>313</v>
      </c>
      <c r="L7" s="7" t="s">
        <v>314</v>
      </c>
      <c r="M7" s="7" t="s">
        <v>10</v>
      </c>
      <c r="N7" s="11"/>
      <c r="O7" s="11"/>
      <c r="P7" s="7">
        <v>1.96</v>
      </c>
      <c r="Q7" s="7">
        <f>P7*B7*5</f>
        <v>205.79999999999998</v>
      </c>
      <c r="R7" s="7" t="s">
        <v>345</v>
      </c>
    </row>
    <row r="8" spans="1:19" x14ac:dyDescent="0.25">
      <c r="A8" s="7">
        <v>4</v>
      </c>
      <c r="B8" s="7">
        <v>4</v>
      </c>
      <c r="C8" s="7" t="s">
        <v>271</v>
      </c>
      <c r="D8" s="7" t="s">
        <v>168</v>
      </c>
      <c r="E8" s="7"/>
      <c r="F8" s="7" t="s">
        <v>11</v>
      </c>
      <c r="G8" s="7" t="s">
        <v>474</v>
      </c>
      <c r="H8" s="8" t="s">
        <v>299</v>
      </c>
      <c r="I8" s="7" t="s">
        <v>472</v>
      </c>
      <c r="J8" s="7" t="s">
        <v>473</v>
      </c>
      <c r="K8" s="7"/>
      <c r="L8" s="7"/>
      <c r="M8" s="7"/>
      <c r="N8" s="7"/>
      <c r="O8" s="7"/>
      <c r="P8" s="7">
        <v>7</v>
      </c>
      <c r="Q8" s="7">
        <f t="shared" si="0"/>
        <v>140</v>
      </c>
      <c r="R8" s="7" t="s">
        <v>310</v>
      </c>
    </row>
    <row r="9" spans="1:19" x14ac:dyDescent="0.25">
      <c r="A9" s="7">
        <v>5</v>
      </c>
      <c r="B9" s="7">
        <v>4</v>
      </c>
      <c r="C9" s="7" t="s">
        <v>169</v>
      </c>
      <c r="D9" s="7" t="s">
        <v>170</v>
      </c>
      <c r="E9" s="7"/>
      <c r="F9" s="7" t="s">
        <v>11</v>
      </c>
      <c r="G9" s="7" t="s">
        <v>477</v>
      </c>
      <c r="H9" s="7" t="s">
        <v>274</v>
      </c>
      <c r="I9" s="7" t="s">
        <v>475</v>
      </c>
      <c r="J9" s="7" t="s">
        <v>476</v>
      </c>
      <c r="K9" s="7"/>
      <c r="L9" s="7"/>
      <c r="M9" s="7"/>
      <c r="N9" s="7"/>
      <c r="O9" s="7"/>
      <c r="P9" s="7">
        <v>0.66</v>
      </c>
      <c r="Q9" s="7">
        <f t="shared" si="0"/>
        <v>13.200000000000001</v>
      </c>
      <c r="R9" s="7" t="s">
        <v>310</v>
      </c>
    </row>
    <row r="10" spans="1:19" x14ac:dyDescent="0.25">
      <c r="A10" s="7">
        <v>6</v>
      </c>
      <c r="B10" s="7">
        <v>1</v>
      </c>
      <c r="C10" s="7" t="s">
        <v>171</v>
      </c>
      <c r="D10" s="7" t="s">
        <v>172</v>
      </c>
      <c r="E10" s="7"/>
      <c r="F10" s="7" t="s">
        <v>11</v>
      </c>
      <c r="G10" s="7" t="s">
        <v>478</v>
      </c>
      <c r="H10" s="8" t="s">
        <v>274</v>
      </c>
      <c r="I10" s="7" t="s">
        <v>479</v>
      </c>
      <c r="J10" s="7" t="s">
        <v>480</v>
      </c>
      <c r="K10" s="7"/>
      <c r="L10" s="7"/>
      <c r="M10" s="7"/>
      <c r="N10" s="7"/>
      <c r="O10" s="7"/>
      <c r="P10" s="7">
        <v>4</v>
      </c>
      <c r="Q10" s="7">
        <f t="shared" si="0"/>
        <v>20</v>
      </c>
      <c r="R10" s="7" t="s">
        <v>310</v>
      </c>
    </row>
    <row r="11" spans="1:19" x14ac:dyDescent="0.25">
      <c r="A11" s="7">
        <v>7</v>
      </c>
      <c r="B11" s="7">
        <v>2</v>
      </c>
      <c r="C11" s="7" t="s">
        <v>173</v>
      </c>
      <c r="D11" s="7" t="s">
        <v>29</v>
      </c>
      <c r="E11" s="7"/>
      <c r="F11" s="7" t="s">
        <v>11</v>
      </c>
      <c r="G11" s="12" t="s">
        <v>350</v>
      </c>
      <c r="H11" s="3" t="s">
        <v>351</v>
      </c>
      <c r="I11" s="12" t="s">
        <v>352</v>
      </c>
      <c r="J11" s="3" t="s">
        <v>353</v>
      </c>
      <c r="K11" s="11"/>
      <c r="L11" s="11"/>
      <c r="M11" s="7" t="s">
        <v>10</v>
      </c>
      <c r="N11" s="11"/>
      <c r="O11" s="11"/>
      <c r="P11" s="7">
        <v>2</v>
      </c>
      <c r="Q11" s="7">
        <f t="shared" si="0"/>
        <v>20</v>
      </c>
      <c r="R11" s="7" t="s">
        <v>310</v>
      </c>
    </row>
    <row r="12" spans="1:19" x14ac:dyDescent="0.25">
      <c r="A12" s="7">
        <v>8</v>
      </c>
      <c r="B12" s="7">
        <v>5</v>
      </c>
      <c r="C12" s="7" t="s">
        <v>174</v>
      </c>
      <c r="D12" s="7" t="s">
        <v>175</v>
      </c>
      <c r="E12" s="7"/>
      <c r="F12" s="7" t="s">
        <v>11</v>
      </c>
      <c r="G12" s="8" t="s">
        <v>483</v>
      </c>
      <c r="H12" s="8" t="s">
        <v>471</v>
      </c>
      <c r="I12" s="7" t="s">
        <v>481</v>
      </c>
      <c r="J12" s="7" t="s">
        <v>482</v>
      </c>
      <c r="K12" s="7"/>
      <c r="L12" s="7"/>
      <c r="M12" s="7"/>
      <c r="N12" s="7"/>
      <c r="O12" s="7"/>
      <c r="P12" s="7">
        <v>0.95</v>
      </c>
      <c r="Q12" s="7">
        <f t="shared" si="0"/>
        <v>23.75</v>
      </c>
      <c r="R12" s="7" t="s">
        <v>310</v>
      </c>
    </row>
    <row r="13" spans="1:19" x14ac:dyDescent="0.25">
      <c r="A13" s="7">
        <v>9</v>
      </c>
      <c r="B13" s="7">
        <v>1</v>
      </c>
      <c r="C13" s="7" t="s">
        <v>176</v>
      </c>
      <c r="D13" s="7" t="s">
        <v>177</v>
      </c>
      <c r="E13" s="7"/>
      <c r="F13" s="7" t="s">
        <v>11</v>
      </c>
      <c r="G13" s="7" t="s">
        <v>484</v>
      </c>
      <c r="H13" s="8" t="s">
        <v>471</v>
      </c>
      <c r="I13" s="9" t="s">
        <v>486</v>
      </c>
      <c r="J13" s="7" t="s">
        <v>485</v>
      </c>
      <c r="K13" s="7"/>
      <c r="L13" s="7"/>
      <c r="M13" s="7"/>
      <c r="N13" s="7"/>
      <c r="O13" s="7"/>
      <c r="P13" s="7">
        <v>0.92</v>
      </c>
      <c r="Q13" s="7">
        <f t="shared" si="0"/>
        <v>4.6000000000000005</v>
      </c>
      <c r="R13" s="7" t="s">
        <v>310</v>
      </c>
    </row>
    <row r="14" spans="1:19" x14ac:dyDescent="0.25">
      <c r="A14" s="7">
        <v>10</v>
      </c>
      <c r="B14" s="7">
        <v>1</v>
      </c>
      <c r="C14" s="7" t="s">
        <v>178</v>
      </c>
      <c r="D14" s="7" t="s">
        <v>179</v>
      </c>
      <c r="E14" s="7"/>
      <c r="F14" s="7" t="s">
        <v>11</v>
      </c>
      <c r="G14" s="7" t="s">
        <v>487</v>
      </c>
      <c r="H14" s="8" t="s">
        <v>471</v>
      </c>
      <c r="I14" s="9" t="s">
        <v>489</v>
      </c>
      <c r="J14" s="7" t="s">
        <v>488</v>
      </c>
      <c r="K14" s="7"/>
      <c r="L14" s="7"/>
      <c r="M14" s="7"/>
      <c r="N14" s="7"/>
      <c r="O14" s="7"/>
      <c r="P14" s="7">
        <v>2.75</v>
      </c>
      <c r="Q14" s="7">
        <f t="shared" si="0"/>
        <v>13.75</v>
      </c>
      <c r="R14" s="7" t="s">
        <v>310</v>
      </c>
    </row>
    <row r="15" spans="1:19" x14ac:dyDescent="0.25">
      <c r="A15" s="7">
        <v>11</v>
      </c>
      <c r="B15" s="7">
        <v>1</v>
      </c>
      <c r="C15" s="7" t="s">
        <v>180</v>
      </c>
      <c r="D15" s="7" t="s">
        <v>181</v>
      </c>
      <c r="E15" s="7"/>
      <c r="F15" s="7" t="s">
        <v>182</v>
      </c>
      <c r="G15" s="7" t="s">
        <v>490</v>
      </c>
      <c r="H15" s="8" t="s">
        <v>471</v>
      </c>
      <c r="I15" s="7"/>
      <c r="J15" s="7"/>
      <c r="K15" s="7" t="s">
        <v>491</v>
      </c>
      <c r="L15" s="7" t="s">
        <v>492</v>
      </c>
      <c r="M15" s="7"/>
      <c r="N15" s="7"/>
      <c r="O15" s="7"/>
      <c r="P15" s="7">
        <v>554</v>
      </c>
      <c r="Q15" s="7">
        <f t="shared" si="0"/>
        <v>2770</v>
      </c>
      <c r="R15" s="7" t="s">
        <v>345</v>
      </c>
    </row>
    <row r="16" spans="1:19" x14ac:dyDescent="0.25">
      <c r="A16" s="7">
        <v>12</v>
      </c>
      <c r="B16" s="7">
        <v>1</v>
      </c>
      <c r="C16" s="7" t="s">
        <v>183</v>
      </c>
      <c r="D16" s="7" t="s">
        <v>184</v>
      </c>
      <c r="E16" s="7"/>
      <c r="F16" s="7" t="s">
        <v>11</v>
      </c>
      <c r="G16" s="7" t="s">
        <v>495</v>
      </c>
      <c r="H16" s="7"/>
      <c r="I16" s="7" t="s">
        <v>493</v>
      </c>
      <c r="J16" s="7" t="s">
        <v>494</v>
      </c>
      <c r="K16" s="7"/>
      <c r="L16" s="7"/>
      <c r="M16" s="7"/>
      <c r="N16" s="7"/>
      <c r="O16" s="7"/>
      <c r="P16" s="7">
        <v>1.4</v>
      </c>
      <c r="Q16" s="7">
        <f t="shared" si="0"/>
        <v>7</v>
      </c>
      <c r="R16" s="7" t="s">
        <v>310</v>
      </c>
    </row>
    <row r="17" spans="1:18" x14ac:dyDescent="0.25">
      <c r="A17" s="7">
        <v>13</v>
      </c>
      <c r="B17" s="7">
        <v>4</v>
      </c>
      <c r="C17" s="7" t="s">
        <v>185</v>
      </c>
      <c r="D17" s="7" t="s">
        <v>38</v>
      </c>
      <c r="E17" s="7"/>
      <c r="F17" s="7" t="s">
        <v>186</v>
      </c>
      <c r="G17" s="11" t="s">
        <v>364</v>
      </c>
      <c r="H17" s="4" t="s">
        <v>365</v>
      </c>
      <c r="I17" s="11">
        <v>827886</v>
      </c>
      <c r="J17" s="11" t="s">
        <v>366</v>
      </c>
      <c r="K17" s="7"/>
      <c r="L17" s="7"/>
      <c r="M17" s="7"/>
      <c r="N17" s="7"/>
      <c r="O17" s="7"/>
      <c r="P17" s="7">
        <v>2</v>
      </c>
      <c r="Q17" s="7">
        <f t="shared" si="0"/>
        <v>40</v>
      </c>
      <c r="R17" s="7" t="s">
        <v>310</v>
      </c>
    </row>
    <row r="18" spans="1:18" x14ac:dyDescent="0.25">
      <c r="A18" s="7">
        <v>14</v>
      </c>
      <c r="B18" s="7">
        <v>1</v>
      </c>
      <c r="C18" s="7" t="s">
        <v>187</v>
      </c>
      <c r="D18" s="7" t="s">
        <v>188</v>
      </c>
      <c r="E18" s="7"/>
      <c r="F18" s="7" t="s">
        <v>190</v>
      </c>
      <c r="G18" s="11" t="s">
        <v>188</v>
      </c>
      <c r="H18" s="11" t="s">
        <v>442</v>
      </c>
      <c r="I18" s="7"/>
      <c r="J18" s="7"/>
      <c r="K18" s="7" t="s">
        <v>188</v>
      </c>
      <c r="L18" s="8" t="s">
        <v>442</v>
      </c>
      <c r="M18" s="7"/>
      <c r="N18" s="7"/>
      <c r="O18" s="7"/>
      <c r="P18" s="7">
        <v>17.14</v>
      </c>
      <c r="Q18" s="7">
        <f t="shared" si="0"/>
        <v>85.7</v>
      </c>
      <c r="R18" s="7" t="s">
        <v>345</v>
      </c>
    </row>
    <row r="19" spans="1:18" x14ac:dyDescent="0.25">
      <c r="A19" s="7">
        <v>15</v>
      </c>
      <c r="B19" s="7">
        <v>1</v>
      </c>
      <c r="C19" s="7" t="s">
        <v>191</v>
      </c>
      <c r="D19" s="7" t="s">
        <v>192</v>
      </c>
      <c r="E19" s="7"/>
      <c r="F19" s="7" t="s">
        <v>194</v>
      </c>
      <c r="G19" s="11" t="s">
        <v>192</v>
      </c>
      <c r="H19" s="7" t="s">
        <v>383</v>
      </c>
      <c r="I19" s="9" t="s">
        <v>497</v>
      </c>
      <c r="J19" s="7" t="s">
        <v>496</v>
      </c>
      <c r="K19" s="7"/>
      <c r="L19" s="7"/>
      <c r="M19" s="7"/>
      <c r="N19" s="7"/>
      <c r="O19" s="7"/>
      <c r="P19" s="7">
        <v>2</v>
      </c>
      <c r="Q19" s="7">
        <f t="shared" si="0"/>
        <v>10</v>
      </c>
      <c r="R19" s="7" t="s">
        <v>310</v>
      </c>
    </row>
    <row r="20" spans="1:18" x14ac:dyDescent="0.25">
      <c r="A20" s="7">
        <v>16</v>
      </c>
      <c r="B20" s="7">
        <v>1</v>
      </c>
      <c r="C20" s="7" t="s">
        <v>195</v>
      </c>
      <c r="D20" s="7" t="s">
        <v>196</v>
      </c>
      <c r="E20" s="7"/>
      <c r="F20" s="7" t="s">
        <v>198</v>
      </c>
      <c r="G20" s="7" t="s">
        <v>498</v>
      </c>
      <c r="H20" s="7" t="s">
        <v>499</v>
      </c>
      <c r="I20" s="7"/>
      <c r="J20" s="7"/>
      <c r="K20" s="7" t="s">
        <v>498</v>
      </c>
      <c r="L20" s="7" t="s">
        <v>499</v>
      </c>
      <c r="M20" s="7"/>
      <c r="N20" s="7"/>
      <c r="O20" s="7"/>
      <c r="P20" s="7">
        <v>23</v>
      </c>
      <c r="Q20" s="7">
        <f t="shared" si="0"/>
        <v>115</v>
      </c>
      <c r="R20" s="7" t="s">
        <v>345</v>
      </c>
    </row>
    <row r="21" spans="1:18" x14ac:dyDescent="0.25">
      <c r="A21" s="7">
        <v>17</v>
      </c>
      <c r="B21" s="7">
        <v>1</v>
      </c>
      <c r="C21" s="7" t="s">
        <v>199</v>
      </c>
      <c r="D21" s="7" t="s">
        <v>200</v>
      </c>
      <c r="E21" s="7"/>
      <c r="F21" s="7" t="s">
        <v>43</v>
      </c>
      <c r="G21" s="3" t="s">
        <v>369</v>
      </c>
      <c r="H21" s="3" t="s">
        <v>370</v>
      </c>
      <c r="I21" s="3" t="s">
        <v>371</v>
      </c>
      <c r="J21" s="3" t="s">
        <v>372</v>
      </c>
      <c r="K21" s="7"/>
      <c r="L21" s="7"/>
      <c r="M21" s="7"/>
      <c r="N21" s="7"/>
      <c r="O21" s="7"/>
      <c r="P21" s="7">
        <v>9</v>
      </c>
      <c r="Q21" s="7">
        <f t="shared" si="0"/>
        <v>45</v>
      </c>
      <c r="R21" s="7" t="s">
        <v>310</v>
      </c>
    </row>
    <row r="22" spans="1:18" x14ac:dyDescent="0.25">
      <c r="A22" s="7">
        <v>18</v>
      </c>
      <c r="B22" s="7">
        <v>1</v>
      </c>
      <c r="C22" s="7" t="s">
        <v>201</v>
      </c>
      <c r="D22" s="7" t="s">
        <v>202</v>
      </c>
      <c r="E22" s="7"/>
      <c r="F22" s="7" t="s">
        <v>203</v>
      </c>
      <c r="G22" s="7" t="s">
        <v>500</v>
      </c>
      <c r="H22" s="8" t="s">
        <v>347</v>
      </c>
      <c r="I22" s="7" t="s">
        <v>502</v>
      </c>
      <c r="J22" s="7" t="s">
        <v>501</v>
      </c>
      <c r="K22" s="7"/>
      <c r="L22" s="7"/>
      <c r="M22" s="7"/>
      <c r="N22" s="7"/>
      <c r="O22" s="7"/>
      <c r="P22" s="7">
        <v>2</v>
      </c>
      <c r="Q22" s="7">
        <f t="shared" si="0"/>
        <v>10</v>
      </c>
      <c r="R22" s="7" t="s">
        <v>310</v>
      </c>
    </row>
    <row r="23" spans="1:18" x14ac:dyDescent="0.25">
      <c r="A23" s="7">
        <v>19</v>
      </c>
      <c r="B23" s="7">
        <v>1</v>
      </c>
      <c r="C23" s="7" t="s">
        <v>62</v>
      </c>
      <c r="D23" s="7" t="s">
        <v>71</v>
      </c>
      <c r="E23" s="7"/>
      <c r="F23" s="7" t="s">
        <v>204</v>
      </c>
      <c r="G23" s="3" t="s">
        <v>465</v>
      </c>
      <c r="H23" s="3" t="s">
        <v>466</v>
      </c>
      <c r="I23" s="3">
        <v>470829</v>
      </c>
      <c r="J23" s="3" t="s">
        <v>467</v>
      </c>
      <c r="K23" s="7"/>
      <c r="L23" s="7"/>
      <c r="M23" s="7"/>
      <c r="N23" s="7"/>
      <c r="O23" s="7"/>
      <c r="P23" s="7">
        <v>10</v>
      </c>
      <c r="Q23" s="7">
        <f t="shared" si="0"/>
        <v>50</v>
      </c>
      <c r="R23" s="7" t="s">
        <v>310</v>
      </c>
    </row>
    <row r="24" spans="1:18" x14ac:dyDescent="0.25">
      <c r="A24" s="7">
        <v>20</v>
      </c>
      <c r="B24" s="7">
        <v>1</v>
      </c>
      <c r="C24" s="7" t="s">
        <v>66</v>
      </c>
      <c r="D24" s="7" t="s">
        <v>205</v>
      </c>
      <c r="E24" s="7"/>
      <c r="F24" s="7" t="s">
        <v>207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>
        <f t="shared" si="0"/>
        <v>0</v>
      </c>
      <c r="R24" s="7"/>
    </row>
    <row r="25" spans="1:18" x14ac:dyDescent="0.25">
      <c r="A25" s="7">
        <v>21</v>
      </c>
      <c r="B25" s="7">
        <v>1</v>
      </c>
      <c r="C25" s="7" t="s">
        <v>70</v>
      </c>
      <c r="D25" s="7" t="s">
        <v>208</v>
      </c>
      <c r="E25" s="7"/>
      <c r="F25" s="7" t="s">
        <v>210</v>
      </c>
      <c r="G25" s="4" t="s">
        <v>503</v>
      </c>
      <c r="H25" s="4" t="s">
        <v>504</v>
      </c>
      <c r="I25" s="4" t="s">
        <v>503</v>
      </c>
      <c r="J25" s="4" t="s">
        <v>505</v>
      </c>
      <c r="K25" s="7"/>
      <c r="L25" s="7"/>
      <c r="M25" s="7"/>
      <c r="N25" s="7"/>
      <c r="O25" s="7"/>
      <c r="P25" s="7">
        <v>151</v>
      </c>
      <c r="Q25" s="7">
        <f t="shared" si="0"/>
        <v>755</v>
      </c>
      <c r="R25" s="7" t="s">
        <v>345</v>
      </c>
    </row>
    <row r="26" spans="1:18" x14ac:dyDescent="0.25">
      <c r="A26" s="7">
        <v>22</v>
      </c>
      <c r="B26" s="7">
        <v>1</v>
      </c>
      <c r="C26" s="7" t="s">
        <v>78</v>
      </c>
      <c r="D26" s="7" t="s">
        <v>211</v>
      </c>
      <c r="E26" s="7"/>
      <c r="F26" s="7" t="s">
        <v>212</v>
      </c>
      <c r="G26" s="3" t="s">
        <v>465</v>
      </c>
      <c r="H26" s="3" t="s">
        <v>466</v>
      </c>
      <c r="I26" s="3">
        <v>470829</v>
      </c>
      <c r="J26" s="3" t="s">
        <v>467</v>
      </c>
      <c r="K26" s="7"/>
      <c r="L26" s="7"/>
      <c r="M26" s="7"/>
      <c r="N26" s="7"/>
      <c r="O26" s="7"/>
      <c r="P26" s="7">
        <v>10</v>
      </c>
      <c r="Q26" s="7">
        <f t="shared" si="0"/>
        <v>50</v>
      </c>
      <c r="R26" s="7" t="s">
        <v>310</v>
      </c>
    </row>
    <row r="27" spans="1:18" x14ac:dyDescent="0.25">
      <c r="A27" s="7">
        <v>23</v>
      </c>
      <c r="B27" s="7">
        <v>1</v>
      </c>
      <c r="C27" s="7" t="s">
        <v>213</v>
      </c>
      <c r="D27" s="7" t="s">
        <v>214</v>
      </c>
      <c r="E27" s="7"/>
      <c r="F27" s="7" t="s">
        <v>215</v>
      </c>
      <c r="G27" s="7" t="s">
        <v>508</v>
      </c>
      <c r="H27" s="8" t="s">
        <v>509</v>
      </c>
      <c r="I27" s="7" t="s">
        <v>506</v>
      </c>
      <c r="J27" s="7" t="s">
        <v>507</v>
      </c>
      <c r="K27" s="7"/>
      <c r="L27" s="7"/>
      <c r="M27" s="7"/>
      <c r="N27" s="7"/>
      <c r="O27" s="7"/>
      <c r="P27" s="7">
        <v>52</v>
      </c>
      <c r="Q27" s="7">
        <f t="shared" si="0"/>
        <v>260</v>
      </c>
      <c r="R27" s="7" t="s">
        <v>310</v>
      </c>
    </row>
    <row r="28" spans="1:18" x14ac:dyDescent="0.25">
      <c r="A28" s="7">
        <v>24</v>
      </c>
      <c r="B28" s="7">
        <v>4</v>
      </c>
      <c r="C28" s="7" t="s">
        <v>216</v>
      </c>
      <c r="D28" s="7" t="s">
        <v>217</v>
      </c>
      <c r="E28" s="7"/>
      <c r="F28" s="7" t="s">
        <v>194</v>
      </c>
      <c r="G28" s="7" t="s">
        <v>512</v>
      </c>
      <c r="H28" s="7" t="s">
        <v>377</v>
      </c>
      <c r="I28" s="7" t="s">
        <v>510</v>
      </c>
      <c r="J28" s="7" t="s">
        <v>511</v>
      </c>
      <c r="K28" s="7"/>
      <c r="L28" s="7"/>
      <c r="M28" s="7"/>
      <c r="N28" s="7"/>
      <c r="O28" s="7"/>
      <c r="P28" s="7">
        <v>5</v>
      </c>
      <c r="Q28" s="7">
        <f t="shared" si="0"/>
        <v>100</v>
      </c>
      <c r="R28" s="7" t="s">
        <v>310</v>
      </c>
    </row>
    <row r="29" spans="1:18" x14ac:dyDescent="0.25">
      <c r="A29" s="7">
        <v>25</v>
      </c>
      <c r="B29" s="7">
        <v>1</v>
      </c>
      <c r="C29" s="7" t="s">
        <v>219</v>
      </c>
      <c r="D29" s="7" t="s">
        <v>220</v>
      </c>
      <c r="E29" s="7"/>
      <c r="F29" s="7" t="s">
        <v>55</v>
      </c>
      <c r="G29" s="7" t="s">
        <v>512</v>
      </c>
      <c r="H29" s="7" t="s">
        <v>377</v>
      </c>
      <c r="I29" s="7" t="s">
        <v>510</v>
      </c>
      <c r="J29" s="7" t="s">
        <v>511</v>
      </c>
      <c r="K29" s="7"/>
      <c r="L29" s="7"/>
      <c r="M29" s="7"/>
      <c r="N29" s="7"/>
      <c r="O29" s="7"/>
      <c r="P29" s="7">
        <v>5</v>
      </c>
      <c r="Q29" s="7">
        <f t="shared" si="0"/>
        <v>25</v>
      </c>
      <c r="R29" s="7" t="s">
        <v>310</v>
      </c>
    </row>
    <row r="30" spans="1:18" x14ac:dyDescent="0.25">
      <c r="A30" s="7">
        <v>26</v>
      </c>
      <c r="B30" s="7">
        <v>5</v>
      </c>
      <c r="C30" s="7" t="s">
        <v>222</v>
      </c>
      <c r="D30" s="7" t="s">
        <v>223</v>
      </c>
      <c r="E30" s="7"/>
      <c r="F30" s="7" t="s">
        <v>24</v>
      </c>
      <c r="G30" s="11"/>
      <c r="H30" s="11"/>
      <c r="I30" s="11" t="s">
        <v>418</v>
      </c>
      <c r="J30" s="11" t="s">
        <v>417</v>
      </c>
      <c r="K30" s="11"/>
      <c r="L30" s="11"/>
      <c r="M30" s="7" t="s">
        <v>95</v>
      </c>
      <c r="N30" s="11"/>
      <c r="O30" s="11"/>
      <c r="P30" s="7">
        <v>0.72</v>
      </c>
      <c r="Q30" s="7">
        <f t="shared" si="0"/>
        <v>18</v>
      </c>
      <c r="R30" s="7" t="s">
        <v>310</v>
      </c>
    </row>
    <row r="31" spans="1:18" x14ac:dyDescent="0.25">
      <c r="A31" s="7">
        <v>27</v>
      </c>
      <c r="B31" s="7">
        <v>2</v>
      </c>
      <c r="C31" s="7" t="s">
        <v>224</v>
      </c>
      <c r="D31" s="7" t="s">
        <v>103</v>
      </c>
      <c r="E31" s="7"/>
      <c r="F31" s="7" t="s">
        <v>24</v>
      </c>
      <c r="G31" s="11"/>
      <c r="H31" s="11"/>
      <c r="I31" s="11" t="s">
        <v>408</v>
      </c>
      <c r="J31" s="11" t="s">
        <v>407</v>
      </c>
      <c r="K31" s="11"/>
      <c r="L31" s="11"/>
      <c r="M31" s="7" t="s">
        <v>95</v>
      </c>
      <c r="N31" s="11"/>
      <c r="O31" s="11"/>
      <c r="P31" s="7">
        <v>0.72</v>
      </c>
      <c r="Q31" s="7">
        <f t="shared" si="0"/>
        <v>7.1999999999999993</v>
      </c>
      <c r="R31" s="7" t="s">
        <v>310</v>
      </c>
    </row>
    <row r="32" spans="1:18" x14ac:dyDescent="0.25">
      <c r="A32" s="7">
        <v>28</v>
      </c>
      <c r="B32" s="7">
        <v>1</v>
      </c>
      <c r="C32" s="7" t="s">
        <v>225</v>
      </c>
      <c r="D32" s="7" t="s">
        <v>106</v>
      </c>
      <c r="E32" s="7"/>
      <c r="F32" s="7" t="s">
        <v>24</v>
      </c>
      <c r="G32" s="11"/>
      <c r="H32" s="11"/>
      <c r="I32" s="11" t="s">
        <v>403</v>
      </c>
      <c r="J32" s="11" t="s">
        <v>404</v>
      </c>
      <c r="K32" s="11"/>
      <c r="L32" s="11"/>
      <c r="M32" s="7" t="s">
        <v>95</v>
      </c>
      <c r="N32" s="11"/>
      <c r="O32" s="11"/>
      <c r="P32" s="7">
        <v>0.72</v>
      </c>
      <c r="Q32" s="7">
        <f t="shared" si="0"/>
        <v>3.5999999999999996</v>
      </c>
      <c r="R32" s="7" t="s">
        <v>310</v>
      </c>
    </row>
    <row r="33" spans="1:18" x14ac:dyDescent="0.25">
      <c r="A33" s="7">
        <v>29</v>
      </c>
      <c r="B33" s="7">
        <v>1</v>
      </c>
      <c r="C33" s="7" t="s">
        <v>97</v>
      </c>
      <c r="D33" s="7" t="s">
        <v>226</v>
      </c>
      <c r="E33" s="7"/>
      <c r="F33" s="7" t="s">
        <v>24</v>
      </c>
      <c r="G33" s="7" t="s">
        <v>464</v>
      </c>
      <c r="H33" s="7"/>
      <c r="I33" s="11" t="s">
        <v>513</v>
      </c>
      <c r="J33" s="11" t="s">
        <v>514</v>
      </c>
      <c r="K33" s="7"/>
      <c r="L33" s="7"/>
      <c r="M33" s="7"/>
      <c r="N33" s="7"/>
      <c r="O33" s="7"/>
      <c r="P33" s="7">
        <v>1</v>
      </c>
      <c r="Q33" s="7">
        <f t="shared" si="0"/>
        <v>5</v>
      </c>
      <c r="R33" s="7" t="s">
        <v>310</v>
      </c>
    </row>
    <row r="34" spans="1:18" x14ac:dyDescent="0.25">
      <c r="A34" s="7">
        <v>30</v>
      </c>
      <c r="B34" s="7">
        <v>5</v>
      </c>
      <c r="C34" s="7" t="s">
        <v>227</v>
      </c>
      <c r="D34" s="7" t="s">
        <v>228</v>
      </c>
      <c r="E34" s="7"/>
      <c r="F34" s="7" t="s">
        <v>24</v>
      </c>
      <c r="G34" s="7"/>
      <c r="H34" s="7"/>
      <c r="I34" s="11" t="s">
        <v>516</v>
      </c>
      <c r="J34" s="11" t="s">
        <v>515</v>
      </c>
      <c r="K34" s="7"/>
      <c r="L34" s="7"/>
      <c r="M34" s="7"/>
      <c r="N34" s="7"/>
      <c r="O34" s="7"/>
      <c r="P34" s="7">
        <v>0.52</v>
      </c>
      <c r="Q34" s="7">
        <f t="shared" si="0"/>
        <v>13</v>
      </c>
      <c r="R34" s="7" t="s">
        <v>310</v>
      </c>
    </row>
    <row r="35" spans="1:18" x14ac:dyDescent="0.25">
      <c r="A35" s="7">
        <v>31</v>
      </c>
      <c r="B35" s="7">
        <v>4</v>
      </c>
      <c r="C35" s="7" t="s">
        <v>229</v>
      </c>
      <c r="D35" s="7" t="s">
        <v>230</v>
      </c>
      <c r="E35" s="7"/>
      <c r="F35" s="7" t="s">
        <v>24</v>
      </c>
      <c r="G35" s="7"/>
      <c r="H35" s="7"/>
      <c r="I35" s="11" t="s">
        <v>518</v>
      </c>
      <c r="J35" s="11" t="s">
        <v>517</v>
      </c>
      <c r="K35" s="7"/>
      <c r="L35" s="7"/>
      <c r="M35" s="7"/>
      <c r="N35" s="7"/>
      <c r="O35" s="7">
        <v>0.35</v>
      </c>
      <c r="P35" s="7">
        <v>0.5</v>
      </c>
      <c r="Q35" s="7">
        <f t="shared" si="0"/>
        <v>10</v>
      </c>
      <c r="R35" s="7" t="s">
        <v>310</v>
      </c>
    </row>
    <row r="36" spans="1:18" x14ac:dyDescent="0.25">
      <c r="A36" s="7">
        <v>32</v>
      </c>
      <c r="B36" s="7">
        <v>5</v>
      </c>
      <c r="C36" s="7" t="s">
        <v>231</v>
      </c>
      <c r="D36" s="7">
        <v>0</v>
      </c>
      <c r="E36" s="7"/>
      <c r="F36" s="7" t="s">
        <v>24</v>
      </c>
      <c r="G36" s="11" t="s">
        <v>402</v>
      </c>
      <c r="H36" s="11" t="s">
        <v>306</v>
      </c>
      <c r="I36" s="11" t="s">
        <v>400</v>
      </c>
      <c r="J36" s="11" t="s">
        <v>401</v>
      </c>
      <c r="K36" s="7"/>
      <c r="L36" s="7"/>
      <c r="M36" s="7"/>
      <c r="N36" s="7"/>
      <c r="O36" s="7"/>
      <c r="P36" s="7">
        <v>0.2</v>
      </c>
      <c r="Q36" s="7">
        <f t="shared" si="0"/>
        <v>5</v>
      </c>
      <c r="R36" s="7" t="s">
        <v>310</v>
      </c>
    </row>
    <row r="37" spans="1:18" x14ac:dyDescent="0.25">
      <c r="A37" s="7">
        <v>33</v>
      </c>
      <c r="B37" s="7">
        <v>3</v>
      </c>
      <c r="C37" s="7" t="s">
        <v>232</v>
      </c>
      <c r="D37" s="7" t="s">
        <v>233</v>
      </c>
      <c r="E37" s="7"/>
      <c r="F37" s="7" t="s">
        <v>24</v>
      </c>
      <c r="G37" s="7"/>
      <c r="H37" s="7"/>
      <c r="I37" s="11" t="s">
        <v>521</v>
      </c>
      <c r="J37" s="11" t="s">
        <v>522</v>
      </c>
      <c r="K37" s="7"/>
      <c r="L37" s="7"/>
      <c r="M37" s="7"/>
      <c r="N37" s="7"/>
      <c r="O37" s="7"/>
      <c r="P37" s="7">
        <v>0.28999999999999998</v>
      </c>
      <c r="Q37" s="7">
        <f t="shared" si="0"/>
        <v>4.3499999999999996</v>
      </c>
      <c r="R37" s="7" t="s">
        <v>310</v>
      </c>
    </row>
    <row r="38" spans="1:18" x14ac:dyDescent="0.25">
      <c r="A38" s="7">
        <v>34</v>
      </c>
      <c r="B38" s="7">
        <v>1</v>
      </c>
      <c r="C38" s="7" t="s">
        <v>234</v>
      </c>
      <c r="D38" s="7" t="s">
        <v>235</v>
      </c>
      <c r="E38" s="7"/>
      <c r="F38" s="7" t="s">
        <v>24</v>
      </c>
      <c r="G38" s="7"/>
      <c r="H38" s="7"/>
      <c r="I38" s="7" t="s">
        <v>519</v>
      </c>
      <c r="J38" s="7" t="s">
        <v>520</v>
      </c>
      <c r="K38" s="7"/>
      <c r="L38" s="7"/>
      <c r="M38" s="7"/>
      <c r="N38" s="7"/>
      <c r="O38" s="7"/>
      <c r="P38" s="7">
        <v>1</v>
      </c>
      <c r="Q38" s="7">
        <f t="shared" si="0"/>
        <v>5</v>
      </c>
      <c r="R38" s="7" t="s">
        <v>310</v>
      </c>
    </row>
    <row r="39" spans="1:18" x14ac:dyDescent="0.25">
      <c r="A39" s="7">
        <v>35</v>
      </c>
      <c r="B39" s="7">
        <v>2</v>
      </c>
      <c r="C39" s="7" t="s">
        <v>236</v>
      </c>
      <c r="D39" s="7" t="s">
        <v>237</v>
      </c>
      <c r="E39" s="7"/>
      <c r="F39" s="7" t="s">
        <v>24</v>
      </c>
      <c r="G39" s="7"/>
      <c r="H39" s="7"/>
      <c r="I39" s="7" t="s">
        <v>516</v>
      </c>
      <c r="J39" s="7" t="s">
        <v>515</v>
      </c>
      <c r="K39" s="7"/>
      <c r="L39" s="7"/>
      <c r="M39" s="7"/>
      <c r="N39" s="7"/>
      <c r="O39" s="7"/>
      <c r="P39" s="7">
        <v>0.52</v>
      </c>
      <c r="Q39" s="7">
        <f t="shared" si="0"/>
        <v>5.2</v>
      </c>
      <c r="R39" s="7" t="s">
        <v>310</v>
      </c>
    </row>
    <row r="40" spans="1:18" x14ac:dyDescent="0.25">
      <c r="A40" s="7">
        <v>36</v>
      </c>
      <c r="B40" s="7">
        <v>1</v>
      </c>
      <c r="C40" s="7" t="s">
        <v>238</v>
      </c>
      <c r="D40" s="7">
        <v>470</v>
      </c>
      <c r="E40" s="7"/>
      <c r="F40" s="7" t="s">
        <v>24</v>
      </c>
      <c r="G40" s="7"/>
      <c r="H40" s="7"/>
      <c r="I40" s="7" t="s">
        <v>523</v>
      </c>
      <c r="J40" s="7" t="s">
        <v>524</v>
      </c>
      <c r="K40" s="7"/>
      <c r="L40" s="7"/>
      <c r="M40" s="7"/>
      <c r="N40" s="7"/>
      <c r="O40" s="7"/>
      <c r="P40" s="7">
        <v>0.72</v>
      </c>
      <c r="Q40" s="7">
        <f t="shared" si="0"/>
        <v>3.5999999999999996</v>
      </c>
      <c r="R40" s="7" t="s">
        <v>310</v>
      </c>
    </row>
    <row r="41" spans="1:18" x14ac:dyDescent="0.25">
      <c r="A41" s="7">
        <v>37</v>
      </c>
      <c r="B41" s="7">
        <v>1</v>
      </c>
      <c r="C41" s="7" t="s">
        <v>239</v>
      </c>
      <c r="D41" s="7" t="s">
        <v>240</v>
      </c>
      <c r="E41" s="7"/>
      <c r="F41" s="7" t="s">
        <v>24</v>
      </c>
      <c r="G41" s="11"/>
      <c r="H41" s="11"/>
      <c r="I41" s="11" t="s">
        <v>418</v>
      </c>
      <c r="J41" s="11" t="s">
        <v>417</v>
      </c>
      <c r="K41" s="11"/>
      <c r="L41" s="11"/>
      <c r="M41" s="7" t="s">
        <v>95</v>
      </c>
      <c r="N41" s="11"/>
      <c r="O41" s="11"/>
      <c r="P41" s="7">
        <v>0.72</v>
      </c>
      <c r="Q41" s="7">
        <f t="shared" si="0"/>
        <v>3.5999999999999996</v>
      </c>
      <c r="R41" s="7" t="s">
        <v>310</v>
      </c>
    </row>
    <row r="42" spans="1:18" x14ac:dyDescent="0.25">
      <c r="A42" s="7">
        <v>38</v>
      </c>
      <c r="B42" s="7">
        <v>2</v>
      </c>
      <c r="C42" s="7" t="s">
        <v>272</v>
      </c>
      <c r="D42" s="7" t="s">
        <v>241</v>
      </c>
      <c r="E42" s="7"/>
      <c r="F42" s="7" t="s">
        <v>242</v>
      </c>
      <c r="G42" s="7"/>
      <c r="H42" s="7"/>
      <c r="I42" s="11" t="s">
        <v>525</v>
      </c>
      <c r="J42" s="11" t="s">
        <v>526</v>
      </c>
      <c r="K42" s="7"/>
      <c r="L42" s="7"/>
      <c r="M42" s="7"/>
      <c r="N42" s="7"/>
      <c r="O42" s="7"/>
      <c r="P42" s="7">
        <v>148</v>
      </c>
      <c r="Q42" s="7">
        <f t="shared" si="0"/>
        <v>1480</v>
      </c>
      <c r="R42" s="7" t="s">
        <v>310</v>
      </c>
    </row>
    <row r="43" spans="1:18" x14ac:dyDescent="0.25">
      <c r="A43" s="7">
        <v>39</v>
      </c>
      <c r="B43" s="7">
        <v>1</v>
      </c>
      <c r="C43" s="7" t="s">
        <v>118</v>
      </c>
      <c r="D43" s="7" t="s">
        <v>132</v>
      </c>
      <c r="E43" s="7"/>
      <c r="F43" s="7" t="s">
        <v>134</v>
      </c>
      <c r="G43" s="4" t="s">
        <v>441</v>
      </c>
      <c r="H43" s="4" t="s">
        <v>442</v>
      </c>
      <c r="I43" s="4">
        <v>1742492</v>
      </c>
      <c r="J43" s="4" t="s">
        <v>443</v>
      </c>
      <c r="K43" s="11"/>
      <c r="L43" s="11"/>
      <c r="M43" s="7" t="s">
        <v>135</v>
      </c>
      <c r="N43" s="11"/>
      <c r="O43" s="11"/>
      <c r="P43" s="7">
        <v>49</v>
      </c>
      <c r="Q43" s="7">
        <f t="shared" si="0"/>
        <v>245</v>
      </c>
      <c r="R43" s="7" t="s">
        <v>310</v>
      </c>
    </row>
    <row r="44" spans="1:18" x14ac:dyDescent="0.25">
      <c r="A44" s="7">
        <v>40</v>
      </c>
      <c r="B44" s="7">
        <v>1</v>
      </c>
      <c r="C44" s="7" t="s">
        <v>243</v>
      </c>
      <c r="D44" s="7" t="s">
        <v>137</v>
      </c>
      <c r="E44" s="7"/>
      <c r="F44" s="7" t="s">
        <v>139</v>
      </c>
      <c r="G44" s="4" t="s">
        <v>444</v>
      </c>
      <c r="H44" s="13" t="s">
        <v>445</v>
      </c>
      <c r="I44" s="4" t="s">
        <v>444</v>
      </c>
      <c r="J44" s="4" t="s">
        <v>445</v>
      </c>
      <c r="K44" s="11"/>
      <c r="L44" s="11"/>
      <c r="M44" s="7" t="s">
        <v>140</v>
      </c>
      <c r="N44" s="11"/>
      <c r="O44" s="11"/>
      <c r="P44" s="7">
        <v>76.319999999999993</v>
      </c>
      <c r="Q44" s="7">
        <f t="shared" si="0"/>
        <v>381.59999999999997</v>
      </c>
      <c r="R44" s="7" t="s">
        <v>310</v>
      </c>
    </row>
    <row r="45" spans="1:18" x14ac:dyDescent="0.25">
      <c r="A45" s="7">
        <v>41</v>
      </c>
      <c r="B45" s="7">
        <v>1</v>
      </c>
      <c r="C45" s="7" t="s">
        <v>123</v>
      </c>
      <c r="D45" s="7" t="s">
        <v>244</v>
      </c>
      <c r="E45" s="7"/>
      <c r="F45" s="7" t="s">
        <v>245</v>
      </c>
      <c r="G45" s="7"/>
      <c r="H45" s="7"/>
      <c r="I45" s="7"/>
      <c r="J45" s="7"/>
      <c r="K45" s="7"/>
      <c r="L45" s="7"/>
      <c r="M45" s="7"/>
      <c r="N45" s="7"/>
      <c r="O45" s="7"/>
      <c r="P45" s="7">
        <v>1220.6300000000001</v>
      </c>
      <c r="Q45" s="7">
        <f t="shared" si="0"/>
        <v>6103.1500000000005</v>
      </c>
      <c r="R45" s="7" t="s">
        <v>527</v>
      </c>
    </row>
    <row r="46" spans="1:18" x14ac:dyDescent="0.25">
      <c r="A46" s="7">
        <v>42</v>
      </c>
      <c r="B46" s="7">
        <v>1</v>
      </c>
      <c r="C46" s="7" t="s">
        <v>126</v>
      </c>
      <c r="D46" s="7" t="s">
        <v>246</v>
      </c>
      <c r="E46" s="7"/>
      <c r="F46" s="7" t="s">
        <v>248</v>
      </c>
      <c r="G46" s="7" t="s">
        <v>246</v>
      </c>
      <c r="H46" s="8" t="s">
        <v>361</v>
      </c>
      <c r="I46" s="7" t="s">
        <v>528</v>
      </c>
      <c r="J46" s="7" t="s">
        <v>529</v>
      </c>
      <c r="K46" s="7"/>
      <c r="L46" s="7"/>
      <c r="M46" s="7"/>
      <c r="N46" s="7"/>
      <c r="O46" s="7"/>
      <c r="P46" s="7">
        <v>302</v>
      </c>
      <c r="Q46" s="7">
        <f t="shared" si="0"/>
        <v>1510</v>
      </c>
      <c r="R46" s="7" t="s">
        <v>310</v>
      </c>
    </row>
    <row r="47" spans="1:18" x14ac:dyDescent="0.25">
      <c r="A47" s="7">
        <v>43</v>
      </c>
      <c r="B47" s="7">
        <v>1</v>
      </c>
      <c r="C47" s="7" t="s">
        <v>136</v>
      </c>
      <c r="D47" s="7" t="s">
        <v>249</v>
      </c>
      <c r="E47" s="7"/>
      <c r="F47" s="7" t="s">
        <v>250</v>
      </c>
      <c r="G47" s="7" t="s">
        <v>249</v>
      </c>
      <c r="H47" s="7" t="s">
        <v>533</v>
      </c>
      <c r="I47" s="7"/>
      <c r="J47" s="7"/>
      <c r="K47" s="7"/>
      <c r="L47" s="7"/>
      <c r="M47" s="7"/>
      <c r="N47" s="7"/>
      <c r="O47" s="7"/>
      <c r="P47" s="7"/>
      <c r="Q47" s="7">
        <f t="shared" si="0"/>
        <v>0</v>
      </c>
      <c r="R47" s="7"/>
    </row>
    <row r="48" spans="1:18" x14ac:dyDescent="0.25">
      <c r="A48" s="7">
        <v>44</v>
      </c>
      <c r="B48" s="7">
        <v>1</v>
      </c>
      <c r="C48" s="7" t="s">
        <v>141</v>
      </c>
      <c r="D48" s="7" t="s">
        <v>251</v>
      </c>
      <c r="E48" s="7"/>
      <c r="F48" s="7" t="s">
        <v>253</v>
      </c>
      <c r="G48" s="7" t="s">
        <v>532</v>
      </c>
      <c r="H48" s="8" t="s">
        <v>442</v>
      </c>
      <c r="I48" s="7" t="s">
        <v>531</v>
      </c>
      <c r="J48" s="7" t="s">
        <v>530</v>
      </c>
      <c r="K48" s="7"/>
      <c r="L48" s="7"/>
      <c r="M48" s="7"/>
      <c r="N48" s="7"/>
      <c r="O48" s="7"/>
      <c r="P48" s="7">
        <v>431</v>
      </c>
      <c r="Q48" s="7">
        <f t="shared" si="0"/>
        <v>2155</v>
      </c>
      <c r="R48" s="7" t="s">
        <v>310</v>
      </c>
    </row>
    <row r="49" spans="1:18" x14ac:dyDescent="0.25">
      <c r="A49" s="7">
        <v>45</v>
      </c>
      <c r="B49" s="7">
        <v>1</v>
      </c>
      <c r="C49" s="7" t="s">
        <v>254</v>
      </c>
      <c r="D49" s="7" t="s">
        <v>255</v>
      </c>
      <c r="E49" s="7"/>
      <c r="F49" s="7" t="s">
        <v>256</v>
      </c>
      <c r="G49" s="7" t="s">
        <v>537</v>
      </c>
      <c r="H49" s="8" t="s">
        <v>538</v>
      </c>
      <c r="I49" s="7"/>
      <c r="J49" s="7"/>
      <c r="K49" s="7" t="s">
        <v>537</v>
      </c>
      <c r="L49" s="7" t="s">
        <v>539</v>
      </c>
      <c r="M49" s="7"/>
      <c r="N49" s="7"/>
      <c r="O49" s="7"/>
      <c r="P49" s="7">
        <v>86.24</v>
      </c>
      <c r="Q49" s="7">
        <f t="shared" si="0"/>
        <v>431.2</v>
      </c>
      <c r="R49" s="7" t="s">
        <v>345</v>
      </c>
    </row>
    <row r="50" spans="1:18" x14ac:dyDescent="0.25">
      <c r="A50" s="7">
        <v>46</v>
      </c>
      <c r="B50" s="7">
        <v>1</v>
      </c>
      <c r="C50" s="7" t="s">
        <v>257</v>
      </c>
      <c r="D50" s="7" t="s">
        <v>258</v>
      </c>
      <c r="E50" s="7"/>
      <c r="F50" s="7" t="s">
        <v>256</v>
      </c>
      <c r="G50" s="7" t="s">
        <v>534</v>
      </c>
      <c r="H50" s="7" t="s">
        <v>536</v>
      </c>
      <c r="I50" s="7"/>
      <c r="J50" s="7"/>
      <c r="K50" s="7" t="s">
        <v>534</v>
      </c>
      <c r="L50" s="7" t="s">
        <v>535</v>
      </c>
      <c r="M50" s="7"/>
      <c r="N50" s="7"/>
      <c r="O50" s="7"/>
      <c r="P50" s="7">
        <v>95.97</v>
      </c>
      <c r="Q50" s="7">
        <f t="shared" si="0"/>
        <v>479.85</v>
      </c>
      <c r="R50" s="7" t="s">
        <v>345</v>
      </c>
    </row>
    <row r="51" spans="1:18" x14ac:dyDescent="0.25">
      <c r="P51" t="s">
        <v>543</v>
      </c>
      <c r="Q51" s="21">
        <f>SUM(Q5:Q50)</f>
        <v>18993.150000000001</v>
      </c>
    </row>
  </sheetData>
  <mergeCells count="1">
    <mergeCell ref="B1:M2"/>
  </mergeCells>
  <hyperlinks>
    <hyperlink ref="G7" r:id="rId1" display="https://www.mouser.in/ProductDetail/YAGEO/AC0805KRX7R7BB104?qs=sGAEpiMZZMukHu%252BjC5l7YWFdFy%252Bfu6GWDe4ay%252BalAUI%3D"/>
    <hyperlink ref="H6" r:id="rId2" display="https://www.mouser.in/manufacturer/kyocera-avx/"/>
    <hyperlink ref="H8" r:id="rId3" display="https://www.mouser.in/manufacturer/vitramon/"/>
    <hyperlink ref="H10" r:id="rId4" display="https://www.mouser.in/manufacturer/kemet-electronics/"/>
    <hyperlink ref="G12" r:id="rId5" display="https://www.mouser.in/ProductDetail/KYOCERA-AVX/0805ZA220JAT2A?qs=qVfB0%2FDaMDayn2JkoZWS9w%3D%3D"/>
    <hyperlink ref="H12" r:id="rId6" display="https://www.mouser.in/manufacturer/kyocera-avx/"/>
    <hyperlink ref="H13" r:id="rId7" display="https://www.mouser.in/manufacturer/kyocera-avx/"/>
    <hyperlink ref="H14" r:id="rId8" display="https://www.mouser.in/manufacturer/kyocera-avx/"/>
    <hyperlink ref="H15" r:id="rId9" display="https://www.mouser.in/manufacturer/kyocera-avx/"/>
    <hyperlink ref="L18" r:id="rId10" display="https://www.mouser.in/manufacturer/stmicroelectronics/"/>
    <hyperlink ref="H22" r:id="rId11" display="https://www.mouser.in/manufacturer/murataelectronics/"/>
    <hyperlink ref="H27" r:id="rId12" display="https://www.mouser.in/manufacturer/taoglas/"/>
    <hyperlink ref="H44" r:id="rId13" display="https://www.mouser.in/manufacturer/texas-instruments/"/>
    <hyperlink ref="H46" r:id="rId14" display="https://www.mouser.in/manufacturer/microchip/"/>
    <hyperlink ref="H48" r:id="rId15" display="https://www.mouser.in/manufacturer/stmicroelectronics/"/>
    <hyperlink ref="H49" r:id="rId16" display="https://in.element14.com/c/crystals-oscillators/crystals/prl/results?brand=abracon"/>
  </hyperlinks>
  <pageMargins left="0.7" right="0.7" top="0.75" bottom="0.75" header="0.3" footer="0.3"/>
  <pageSetup paperSize="9" orientation="portrait" horizontalDpi="4294967293" verticalDpi="0" r:id="rId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workbookViewId="0">
      <selection activeCell="I2" sqref="I2"/>
    </sheetView>
  </sheetViews>
  <sheetFormatPr defaultRowHeight="15" x14ac:dyDescent="0.25"/>
  <cols>
    <col min="3" max="3" width="2.42578125" customWidth="1"/>
    <col min="4" max="4" width="84" bestFit="1" customWidth="1"/>
    <col min="7" max="7" width="183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301</v>
      </c>
      <c r="B2" t="s">
        <v>9</v>
      </c>
      <c r="C2" t="s">
        <v>8</v>
      </c>
      <c r="D2" t="s">
        <v>11</v>
      </c>
      <c r="E2">
        <v>9</v>
      </c>
      <c r="G2" t="s">
        <v>10</v>
      </c>
    </row>
    <row r="3" spans="1:7" x14ac:dyDescent="0.25">
      <c r="A3" t="s">
        <v>12</v>
      </c>
      <c r="B3" t="s">
        <v>13</v>
      </c>
      <c r="C3" t="s">
        <v>8</v>
      </c>
      <c r="D3" t="s">
        <v>14</v>
      </c>
      <c r="E3">
        <v>1</v>
      </c>
      <c r="G3" t="s">
        <v>10</v>
      </c>
    </row>
    <row r="4" spans="1:7" x14ac:dyDescent="0.25">
      <c r="A4" t="s">
        <v>15</v>
      </c>
      <c r="B4" t="s">
        <v>16</v>
      </c>
      <c r="C4" t="s">
        <v>8</v>
      </c>
      <c r="D4" t="s">
        <v>17</v>
      </c>
      <c r="E4">
        <v>1</v>
      </c>
      <c r="G4" t="s">
        <v>18</v>
      </c>
    </row>
    <row r="5" spans="1:7" x14ac:dyDescent="0.25">
      <c r="A5" t="s">
        <v>19</v>
      </c>
      <c r="B5" t="s">
        <v>20</v>
      </c>
      <c r="C5" t="s">
        <v>8</v>
      </c>
      <c r="D5" t="s">
        <v>11</v>
      </c>
      <c r="E5">
        <v>2</v>
      </c>
      <c r="G5" t="s">
        <v>10</v>
      </c>
    </row>
    <row r="6" spans="1:7" x14ac:dyDescent="0.25">
      <c r="A6" t="s">
        <v>21</v>
      </c>
      <c r="B6" t="s">
        <v>281</v>
      </c>
      <c r="C6" t="s">
        <v>8</v>
      </c>
      <c r="D6" t="s">
        <v>17</v>
      </c>
      <c r="E6">
        <v>1</v>
      </c>
      <c r="G6" t="s">
        <v>18</v>
      </c>
    </row>
    <row r="7" spans="1:7" x14ac:dyDescent="0.25">
      <c r="A7" t="s">
        <v>22</v>
      </c>
      <c r="B7" t="s">
        <v>23</v>
      </c>
      <c r="C7" t="s">
        <v>8</v>
      </c>
      <c r="D7" t="s">
        <v>24</v>
      </c>
      <c r="E7">
        <v>1</v>
      </c>
      <c r="G7" t="s">
        <v>10</v>
      </c>
    </row>
    <row r="8" spans="1:7" x14ac:dyDescent="0.25">
      <c r="A8" t="s">
        <v>25</v>
      </c>
      <c r="B8" t="s">
        <v>26</v>
      </c>
      <c r="C8" t="s">
        <v>8</v>
      </c>
      <c r="D8" t="s">
        <v>27</v>
      </c>
      <c r="E8">
        <v>1</v>
      </c>
      <c r="G8" t="s">
        <v>10</v>
      </c>
    </row>
    <row r="9" spans="1:7" x14ac:dyDescent="0.25">
      <c r="A9" t="s">
        <v>28</v>
      </c>
      <c r="B9" t="s">
        <v>29</v>
      </c>
      <c r="C9" t="s">
        <v>8</v>
      </c>
      <c r="D9" t="s">
        <v>11</v>
      </c>
      <c r="E9">
        <v>7</v>
      </c>
      <c r="G9" t="s">
        <v>10</v>
      </c>
    </row>
    <row r="10" spans="1:7" x14ac:dyDescent="0.25">
      <c r="A10" t="s">
        <v>302</v>
      </c>
      <c r="B10" t="s">
        <v>303</v>
      </c>
      <c r="C10" t="s">
        <v>8</v>
      </c>
      <c r="D10" t="s">
        <v>11</v>
      </c>
      <c r="E10">
        <v>5</v>
      </c>
      <c r="G10" t="s">
        <v>10</v>
      </c>
    </row>
    <row r="11" spans="1:7" x14ac:dyDescent="0.25">
      <c r="A11" t="s">
        <v>30</v>
      </c>
      <c r="B11" t="s">
        <v>282</v>
      </c>
      <c r="C11" t="s">
        <v>8</v>
      </c>
      <c r="D11" t="s">
        <v>17</v>
      </c>
      <c r="E11">
        <v>1</v>
      </c>
      <c r="G11" t="s">
        <v>18</v>
      </c>
    </row>
    <row r="12" spans="1:7" x14ac:dyDescent="0.25">
      <c r="A12" t="s">
        <v>31</v>
      </c>
      <c r="B12" t="s">
        <v>32</v>
      </c>
      <c r="C12" t="s">
        <v>8</v>
      </c>
      <c r="D12" t="s">
        <v>24</v>
      </c>
      <c r="E12">
        <v>1</v>
      </c>
      <c r="G12" t="s">
        <v>10</v>
      </c>
    </row>
    <row r="13" spans="1:7" x14ac:dyDescent="0.25">
      <c r="A13" t="s">
        <v>33</v>
      </c>
      <c r="B13" t="s">
        <v>34</v>
      </c>
      <c r="C13" t="s">
        <v>8</v>
      </c>
      <c r="D13" t="s">
        <v>35</v>
      </c>
      <c r="E13">
        <v>4</v>
      </c>
      <c r="G13" t="s">
        <v>36</v>
      </c>
    </row>
    <row r="14" spans="1:7" x14ac:dyDescent="0.25">
      <c r="A14" t="s">
        <v>37</v>
      </c>
      <c r="B14" t="s">
        <v>38</v>
      </c>
      <c r="C14" t="s">
        <v>8</v>
      </c>
      <c r="D14" t="s">
        <v>276</v>
      </c>
      <c r="E14">
        <v>1</v>
      </c>
      <c r="G14" t="s">
        <v>39</v>
      </c>
    </row>
    <row r="15" spans="1:7" x14ac:dyDescent="0.25">
      <c r="A15" t="s">
        <v>40</v>
      </c>
      <c r="B15" t="s">
        <v>41</v>
      </c>
      <c r="C15" t="s">
        <v>42</v>
      </c>
      <c r="D15" t="s">
        <v>43</v>
      </c>
      <c r="E15">
        <v>3</v>
      </c>
      <c r="G15" t="s">
        <v>44</v>
      </c>
    </row>
    <row r="16" spans="1:7" x14ac:dyDescent="0.25">
      <c r="A16" t="s">
        <v>45</v>
      </c>
      <c r="B16" t="s">
        <v>46</v>
      </c>
      <c r="C16" t="s">
        <v>47</v>
      </c>
      <c r="D16" t="s">
        <v>43</v>
      </c>
      <c r="E16">
        <v>3</v>
      </c>
      <c r="G16" t="s">
        <v>48</v>
      </c>
    </row>
    <row r="17" spans="1:7" x14ac:dyDescent="0.25">
      <c r="A17" t="s">
        <v>49</v>
      </c>
      <c r="B17" t="s">
        <v>50</v>
      </c>
      <c r="C17" t="s">
        <v>51</v>
      </c>
      <c r="D17" t="s">
        <v>43</v>
      </c>
      <c r="E17">
        <v>1</v>
      </c>
      <c r="G17" t="s">
        <v>52</v>
      </c>
    </row>
    <row r="18" spans="1:7" x14ac:dyDescent="0.25">
      <c r="A18" t="s">
        <v>53</v>
      </c>
      <c r="B18" t="s">
        <v>54</v>
      </c>
      <c r="C18" t="s">
        <v>8</v>
      </c>
      <c r="D18" t="s">
        <v>55</v>
      </c>
      <c r="E18">
        <v>1</v>
      </c>
      <c r="G18" t="s">
        <v>56</v>
      </c>
    </row>
    <row r="19" spans="1:7" x14ac:dyDescent="0.25">
      <c r="A19" t="s">
        <v>57</v>
      </c>
      <c r="B19" t="s">
        <v>58</v>
      </c>
      <c r="C19" t="s">
        <v>59</v>
      </c>
      <c r="D19" t="s">
        <v>60</v>
      </c>
      <c r="E19">
        <v>1</v>
      </c>
      <c r="G19" t="s">
        <v>61</v>
      </c>
    </row>
    <row r="20" spans="1:7" x14ac:dyDescent="0.25">
      <c r="A20" t="s">
        <v>62</v>
      </c>
      <c r="B20" t="s">
        <v>63</v>
      </c>
      <c r="C20" t="s">
        <v>8</v>
      </c>
      <c r="D20" t="s">
        <v>64</v>
      </c>
      <c r="E20">
        <v>1</v>
      </c>
      <c r="G20" t="s">
        <v>65</v>
      </c>
    </row>
    <row r="21" spans="1:7" x14ac:dyDescent="0.25">
      <c r="A21" t="s">
        <v>66</v>
      </c>
      <c r="B21" t="s">
        <v>67</v>
      </c>
      <c r="C21" t="s">
        <v>8</v>
      </c>
      <c r="D21" t="s">
        <v>68</v>
      </c>
      <c r="E21">
        <v>1</v>
      </c>
      <c r="G21" t="s">
        <v>69</v>
      </c>
    </row>
    <row r="22" spans="1:7" x14ac:dyDescent="0.25">
      <c r="A22" t="s">
        <v>70</v>
      </c>
      <c r="B22" t="s">
        <v>71</v>
      </c>
      <c r="C22" t="s">
        <v>8</v>
      </c>
      <c r="D22" t="s">
        <v>72</v>
      </c>
      <c r="E22">
        <v>1</v>
      </c>
      <c r="G22" t="s">
        <v>73</v>
      </c>
    </row>
    <row r="23" spans="1:7" x14ac:dyDescent="0.25">
      <c r="A23" t="s">
        <v>277</v>
      </c>
      <c r="B23" t="s">
        <v>278</v>
      </c>
      <c r="D23" t="s">
        <v>279</v>
      </c>
      <c r="E23">
        <v>1</v>
      </c>
    </row>
    <row r="24" spans="1:7" x14ac:dyDescent="0.25">
      <c r="A24" t="s">
        <v>74</v>
      </c>
      <c r="B24" t="s">
        <v>75</v>
      </c>
      <c r="C24" t="s">
        <v>8</v>
      </c>
      <c r="D24" t="s">
        <v>76</v>
      </c>
      <c r="E24">
        <v>1</v>
      </c>
      <c r="G24" t="s">
        <v>77</v>
      </c>
    </row>
    <row r="25" spans="1:7" x14ac:dyDescent="0.25">
      <c r="A25" t="s">
        <v>78</v>
      </c>
      <c r="B25" t="s">
        <v>79</v>
      </c>
      <c r="C25" t="s">
        <v>8</v>
      </c>
      <c r="D25" t="s">
        <v>80</v>
      </c>
      <c r="E25">
        <v>1</v>
      </c>
      <c r="G25" t="s">
        <v>81</v>
      </c>
    </row>
    <row r="26" spans="1:7" x14ac:dyDescent="0.25">
      <c r="A26" t="s">
        <v>82</v>
      </c>
      <c r="B26" t="s">
        <v>83</v>
      </c>
      <c r="C26" t="s">
        <v>8</v>
      </c>
      <c r="D26" t="s">
        <v>84</v>
      </c>
      <c r="E26">
        <v>1</v>
      </c>
      <c r="G26" t="s">
        <v>85</v>
      </c>
    </row>
    <row r="27" spans="1:7" x14ac:dyDescent="0.25">
      <c r="A27" t="s">
        <v>86</v>
      </c>
      <c r="B27" t="s">
        <v>87</v>
      </c>
      <c r="C27" t="s">
        <v>8</v>
      </c>
      <c r="D27" t="s">
        <v>84</v>
      </c>
      <c r="E27">
        <v>1</v>
      </c>
      <c r="G27" t="s">
        <v>88</v>
      </c>
    </row>
    <row r="28" spans="1:7" x14ac:dyDescent="0.25">
      <c r="A28" t="s">
        <v>89</v>
      </c>
      <c r="B28" t="s">
        <v>90</v>
      </c>
      <c r="C28" t="s">
        <v>91</v>
      </c>
      <c r="D28" t="s">
        <v>92</v>
      </c>
      <c r="E28">
        <v>1</v>
      </c>
      <c r="G28" t="s">
        <v>93</v>
      </c>
    </row>
    <row r="29" spans="1:7" x14ac:dyDescent="0.25">
      <c r="A29" t="s">
        <v>283</v>
      </c>
      <c r="B29" t="s">
        <v>94</v>
      </c>
      <c r="C29" t="s">
        <v>8</v>
      </c>
      <c r="D29" t="s">
        <v>24</v>
      </c>
      <c r="E29">
        <v>3</v>
      </c>
      <c r="G29" t="s">
        <v>95</v>
      </c>
    </row>
    <row r="30" spans="1:7" x14ac:dyDescent="0.25">
      <c r="A30" t="s">
        <v>284</v>
      </c>
      <c r="B30" t="s">
        <v>106</v>
      </c>
      <c r="C30" t="s">
        <v>8</v>
      </c>
      <c r="D30" t="s">
        <v>24</v>
      </c>
      <c r="E30">
        <v>9</v>
      </c>
      <c r="G30" t="s">
        <v>95</v>
      </c>
    </row>
    <row r="31" spans="1:7" x14ac:dyDescent="0.25">
      <c r="A31" t="s">
        <v>96</v>
      </c>
      <c r="B31" t="s">
        <v>285</v>
      </c>
      <c r="C31" t="s">
        <v>8</v>
      </c>
      <c r="D31" t="s">
        <v>24</v>
      </c>
      <c r="E31">
        <v>4</v>
      </c>
      <c r="G31" t="s">
        <v>95</v>
      </c>
    </row>
    <row r="32" spans="1:7" x14ac:dyDescent="0.25">
      <c r="A32" t="s">
        <v>286</v>
      </c>
      <c r="B32" t="s">
        <v>103</v>
      </c>
      <c r="C32" t="s">
        <v>8</v>
      </c>
      <c r="D32" t="s">
        <v>24</v>
      </c>
      <c r="E32">
        <v>5</v>
      </c>
      <c r="G32" t="s">
        <v>95</v>
      </c>
    </row>
    <row r="33" spans="1:7" x14ac:dyDescent="0.25">
      <c r="A33" t="s">
        <v>98</v>
      </c>
      <c r="B33" t="s">
        <v>287</v>
      </c>
      <c r="C33" t="s">
        <v>8</v>
      </c>
      <c r="D33" t="s">
        <v>24</v>
      </c>
      <c r="E33">
        <v>2</v>
      </c>
      <c r="G33" t="s">
        <v>95</v>
      </c>
    </row>
    <row r="34" spans="1:7" x14ac:dyDescent="0.25">
      <c r="A34" t="s">
        <v>99</v>
      </c>
      <c r="B34" t="s">
        <v>288</v>
      </c>
      <c r="C34" t="s">
        <v>8</v>
      </c>
      <c r="D34" t="s">
        <v>24</v>
      </c>
      <c r="E34">
        <v>1</v>
      </c>
      <c r="G34" t="s">
        <v>95</v>
      </c>
    </row>
    <row r="35" spans="1:7" x14ac:dyDescent="0.25">
      <c r="A35" t="s">
        <v>100</v>
      </c>
      <c r="B35" t="s">
        <v>101</v>
      </c>
      <c r="C35" t="s">
        <v>8</v>
      </c>
      <c r="D35" t="s">
        <v>24</v>
      </c>
      <c r="E35">
        <v>2</v>
      </c>
      <c r="G35" t="s">
        <v>95</v>
      </c>
    </row>
    <row r="36" spans="1:7" x14ac:dyDescent="0.25">
      <c r="A36" t="s">
        <v>102</v>
      </c>
      <c r="B36" t="s">
        <v>289</v>
      </c>
      <c r="C36" t="s">
        <v>8</v>
      </c>
      <c r="D36" t="s">
        <v>24</v>
      </c>
      <c r="E36">
        <v>1</v>
      </c>
      <c r="G36" t="s">
        <v>95</v>
      </c>
    </row>
    <row r="37" spans="1:7" x14ac:dyDescent="0.25">
      <c r="A37" t="s">
        <v>290</v>
      </c>
      <c r="B37" t="s">
        <v>223</v>
      </c>
      <c r="C37" t="s">
        <v>8</v>
      </c>
      <c r="D37" t="s">
        <v>24</v>
      </c>
      <c r="E37">
        <v>4</v>
      </c>
      <c r="G37" t="s">
        <v>95</v>
      </c>
    </row>
    <row r="38" spans="1:7" x14ac:dyDescent="0.25">
      <c r="A38" t="s">
        <v>280</v>
      </c>
      <c r="B38" t="s">
        <v>103</v>
      </c>
      <c r="C38" t="s">
        <v>8</v>
      </c>
      <c r="D38" t="s">
        <v>11</v>
      </c>
      <c r="E38">
        <v>4</v>
      </c>
      <c r="G38" t="s">
        <v>95</v>
      </c>
    </row>
    <row r="39" spans="1:7" x14ac:dyDescent="0.25">
      <c r="A39" t="s">
        <v>104</v>
      </c>
      <c r="B39" t="s">
        <v>291</v>
      </c>
      <c r="C39" t="s">
        <v>8</v>
      </c>
      <c r="D39" t="s">
        <v>24</v>
      </c>
      <c r="E39">
        <v>1</v>
      </c>
      <c r="G39" t="s">
        <v>95</v>
      </c>
    </row>
    <row r="40" spans="1:7" x14ac:dyDescent="0.25">
      <c r="A40" t="s">
        <v>105</v>
      </c>
      <c r="B40" t="s">
        <v>292</v>
      </c>
      <c r="C40" t="s">
        <v>8</v>
      </c>
      <c r="D40" t="s">
        <v>24</v>
      </c>
      <c r="E40">
        <v>1</v>
      </c>
      <c r="G40" t="s">
        <v>95</v>
      </c>
    </row>
    <row r="41" spans="1:7" x14ac:dyDescent="0.25">
      <c r="A41" t="s">
        <v>107</v>
      </c>
      <c r="B41" t="s">
        <v>293</v>
      </c>
      <c r="C41" t="s">
        <v>8</v>
      </c>
      <c r="D41" t="s">
        <v>24</v>
      </c>
      <c r="E41">
        <v>2</v>
      </c>
      <c r="G41" t="s">
        <v>95</v>
      </c>
    </row>
    <row r="42" spans="1:7" x14ac:dyDescent="0.25">
      <c r="A42" t="s">
        <v>108</v>
      </c>
      <c r="B42" t="s">
        <v>294</v>
      </c>
      <c r="C42" t="s">
        <v>8</v>
      </c>
      <c r="D42" t="s">
        <v>24</v>
      </c>
      <c r="E42">
        <v>1</v>
      </c>
      <c r="G42" t="s">
        <v>95</v>
      </c>
    </row>
    <row r="43" spans="1:7" x14ac:dyDescent="0.25">
      <c r="A43" t="s">
        <v>109</v>
      </c>
      <c r="B43" t="s">
        <v>295</v>
      </c>
      <c r="C43" t="s">
        <v>8</v>
      </c>
      <c r="D43" t="s">
        <v>24</v>
      </c>
      <c r="E43">
        <v>1</v>
      </c>
      <c r="G43" t="s">
        <v>95</v>
      </c>
    </row>
    <row r="44" spans="1:7" x14ac:dyDescent="0.25">
      <c r="A44" t="s">
        <v>110</v>
      </c>
      <c r="B44" t="s">
        <v>296</v>
      </c>
      <c r="C44" t="s">
        <v>8</v>
      </c>
      <c r="D44" t="s">
        <v>24</v>
      </c>
      <c r="E44">
        <v>1</v>
      </c>
      <c r="G44" t="s">
        <v>95</v>
      </c>
    </row>
    <row r="45" spans="1:7" x14ac:dyDescent="0.25">
      <c r="A45" t="s">
        <v>111</v>
      </c>
      <c r="B45" t="s">
        <v>112</v>
      </c>
      <c r="C45" t="s">
        <v>8</v>
      </c>
      <c r="D45" t="s">
        <v>113</v>
      </c>
      <c r="E45">
        <v>1</v>
      </c>
      <c r="G45" t="s">
        <v>114</v>
      </c>
    </row>
    <row r="46" spans="1:7" x14ac:dyDescent="0.25">
      <c r="A46" t="s">
        <v>115</v>
      </c>
      <c r="B46" t="s">
        <v>116</v>
      </c>
      <c r="D46" t="s">
        <v>117</v>
      </c>
      <c r="E46">
        <v>1</v>
      </c>
    </row>
    <row r="47" spans="1:7" x14ac:dyDescent="0.25">
      <c r="A47" t="s">
        <v>118</v>
      </c>
      <c r="B47" t="s">
        <v>119</v>
      </c>
      <c r="C47" t="s">
        <v>120</v>
      </c>
      <c r="D47" t="s">
        <v>121</v>
      </c>
      <c r="E47">
        <v>1</v>
      </c>
      <c r="G47" t="s">
        <v>122</v>
      </c>
    </row>
    <row r="48" spans="1:7" x14ac:dyDescent="0.25">
      <c r="A48" t="s">
        <v>123</v>
      </c>
      <c r="B48" t="s">
        <v>124</v>
      </c>
      <c r="C48" t="s">
        <v>124</v>
      </c>
      <c r="D48" t="s">
        <v>125</v>
      </c>
      <c r="E48">
        <v>1</v>
      </c>
    </row>
    <row r="49" spans="1:7" x14ac:dyDescent="0.25">
      <c r="A49" t="s">
        <v>126</v>
      </c>
      <c r="B49" t="s">
        <v>127</v>
      </c>
      <c r="C49" t="s">
        <v>128</v>
      </c>
      <c r="D49" t="s">
        <v>129</v>
      </c>
      <c r="E49">
        <v>1</v>
      </c>
      <c r="G49" t="s">
        <v>130</v>
      </c>
    </row>
    <row r="50" spans="1:7" x14ac:dyDescent="0.25">
      <c r="A50" t="s">
        <v>131</v>
      </c>
      <c r="B50" t="s">
        <v>132</v>
      </c>
      <c r="C50" t="s">
        <v>133</v>
      </c>
      <c r="D50" t="s">
        <v>134</v>
      </c>
      <c r="E50">
        <v>1</v>
      </c>
      <c r="G50" t="s">
        <v>135</v>
      </c>
    </row>
    <row r="51" spans="1:7" x14ac:dyDescent="0.25">
      <c r="A51" t="s">
        <v>136</v>
      </c>
      <c r="B51" t="s">
        <v>137</v>
      </c>
      <c r="C51" t="s">
        <v>138</v>
      </c>
      <c r="D51" t="s">
        <v>139</v>
      </c>
      <c r="E51">
        <v>1</v>
      </c>
      <c r="G51" t="s">
        <v>140</v>
      </c>
    </row>
    <row r="52" spans="1:7" x14ac:dyDescent="0.25">
      <c r="A52" t="s">
        <v>141</v>
      </c>
      <c r="B52" t="s">
        <v>142</v>
      </c>
      <c r="C52" t="s">
        <v>142</v>
      </c>
      <c r="D52" t="s">
        <v>143</v>
      </c>
      <c r="E52">
        <v>1</v>
      </c>
    </row>
    <row r="53" spans="1:7" x14ac:dyDescent="0.25">
      <c r="A53" t="s">
        <v>144</v>
      </c>
      <c r="B53" t="s">
        <v>145</v>
      </c>
      <c r="C53" t="s">
        <v>146</v>
      </c>
      <c r="D53" t="s">
        <v>147</v>
      </c>
      <c r="E53">
        <v>1</v>
      </c>
      <c r="G53" t="s">
        <v>148</v>
      </c>
    </row>
    <row r="54" spans="1:7" x14ac:dyDescent="0.25">
      <c r="A54" t="s">
        <v>149</v>
      </c>
      <c r="B54" t="s">
        <v>150</v>
      </c>
      <c r="C54" t="s">
        <v>151</v>
      </c>
      <c r="D54" t="s">
        <v>147</v>
      </c>
      <c r="E54">
        <v>1</v>
      </c>
      <c r="G54" t="s">
        <v>152</v>
      </c>
    </row>
    <row r="55" spans="1:7" x14ac:dyDescent="0.25">
      <c r="A55" t="s">
        <v>153</v>
      </c>
      <c r="B55" t="s">
        <v>154</v>
      </c>
      <c r="C55" t="s">
        <v>155</v>
      </c>
      <c r="D55" t="s">
        <v>156</v>
      </c>
      <c r="E55">
        <v>1</v>
      </c>
    </row>
    <row r="56" spans="1:7" x14ac:dyDescent="0.25">
      <c r="A56" t="s">
        <v>157</v>
      </c>
      <c r="B56" t="s">
        <v>158</v>
      </c>
      <c r="C56" t="s">
        <v>159</v>
      </c>
      <c r="D56" t="s">
        <v>160</v>
      </c>
      <c r="E56">
        <v>1</v>
      </c>
      <c r="G56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activeCell="H35" sqref="H3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 t="s">
        <v>162</v>
      </c>
      <c r="C2" t="s">
        <v>8</v>
      </c>
      <c r="D2" t="s">
        <v>163</v>
      </c>
      <c r="E2">
        <v>1</v>
      </c>
    </row>
    <row r="3" spans="1:6" x14ac:dyDescent="0.25">
      <c r="A3" t="s">
        <v>164</v>
      </c>
      <c r="B3" t="s">
        <v>165</v>
      </c>
      <c r="C3" t="s">
        <v>8</v>
      </c>
      <c r="D3" t="s">
        <v>166</v>
      </c>
      <c r="E3">
        <v>2</v>
      </c>
    </row>
    <row r="4" spans="1:6" x14ac:dyDescent="0.25">
      <c r="A4" t="s">
        <v>167</v>
      </c>
      <c r="B4" t="s">
        <v>9</v>
      </c>
      <c r="C4" t="s">
        <v>8</v>
      </c>
      <c r="D4" t="s">
        <v>11</v>
      </c>
      <c r="E4">
        <v>21</v>
      </c>
    </row>
    <row r="5" spans="1:6" x14ac:dyDescent="0.25">
      <c r="A5" t="s">
        <v>271</v>
      </c>
      <c r="B5" t="s">
        <v>168</v>
      </c>
      <c r="C5" t="s">
        <v>8</v>
      </c>
      <c r="D5" t="s">
        <v>11</v>
      </c>
      <c r="E5">
        <v>4</v>
      </c>
    </row>
    <row r="6" spans="1:6" x14ac:dyDescent="0.25">
      <c r="A6" t="s">
        <v>169</v>
      </c>
      <c r="B6" t="s">
        <v>170</v>
      </c>
      <c r="C6" t="s">
        <v>8</v>
      </c>
      <c r="D6" t="s">
        <v>11</v>
      </c>
      <c r="E6">
        <v>4</v>
      </c>
    </row>
    <row r="7" spans="1:6" x14ac:dyDescent="0.25">
      <c r="A7" t="s">
        <v>171</v>
      </c>
      <c r="B7" t="s">
        <v>172</v>
      </c>
      <c r="C7" t="s">
        <v>8</v>
      </c>
      <c r="D7" t="s">
        <v>11</v>
      </c>
      <c r="E7">
        <v>1</v>
      </c>
    </row>
    <row r="8" spans="1:6" x14ac:dyDescent="0.25">
      <c r="A8" t="s">
        <v>173</v>
      </c>
      <c r="B8" t="s">
        <v>29</v>
      </c>
      <c r="C8" t="s">
        <v>8</v>
      </c>
      <c r="D8" t="s">
        <v>11</v>
      </c>
      <c r="E8">
        <v>2</v>
      </c>
    </row>
    <row r="9" spans="1:6" x14ac:dyDescent="0.25">
      <c r="A9" t="s">
        <v>174</v>
      </c>
      <c r="B9" t="s">
        <v>175</v>
      </c>
      <c r="C9" t="s">
        <v>8</v>
      </c>
      <c r="D9" t="s">
        <v>11</v>
      </c>
      <c r="E9">
        <v>5</v>
      </c>
    </row>
    <row r="10" spans="1:6" x14ac:dyDescent="0.25">
      <c r="A10" t="s">
        <v>176</v>
      </c>
      <c r="B10" t="s">
        <v>177</v>
      </c>
      <c r="C10" t="s">
        <v>8</v>
      </c>
      <c r="D10" t="s">
        <v>11</v>
      </c>
      <c r="E10">
        <v>1</v>
      </c>
    </row>
    <row r="11" spans="1:6" x14ac:dyDescent="0.25">
      <c r="A11" t="s">
        <v>178</v>
      </c>
      <c r="B11" t="s">
        <v>179</v>
      </c>
      <c r="C11" t="s">
        <v>8</v>
      </c>
      <c r="D11" t="s">
        <v>11</v>
      </c>
      <c r="E11">
        <v>1</v>
      </c>
    </row>
    <row r="12" spans="1:6" x14ac:dyDescent="0.25">
      <c r="A12" t="s">
        <v>180</v>
      </c>
      <c r="B12" t="s">
        <v>181</v>
      </c>
      <c r="C12" t="s">
        <v>8</v>
      </c>
      <c r="D12" t="s">
        <v>182</v>
      </c>
      <c r="E12">
        <v>1</v>
      </c>
    </row>
    <row r="13" spans="1:6" x14ac:dyDescent="0.25">
      <c r="A13" t="s">
        <v>183</v>
      </c>
      <c r="B13" t="s">
        <v>184</v>
      </c>
      <c r="C13" t="s">
        <v>8</v>
      </c>
      <c r="D13" t="s">
        <v>11</v>
      </c>
      <c r="E13">
        <v>1</v>
      </c>
    </row>
    <row r="14" spans="1:6" x14ac:dyDescent="0.25">
      <c r="A14" t="s">
        <v>185</v>
      </c>
      <c r="B14" t="s">
        <v>38</v>
      </c>
      <c r="C14" t="s">
        <v>8</v>
      </c>
      <c r="D14" t="s">
        <v>186</v>
      </c>
      <c r="E14">
        <v>4</v>
      </c>
    </row>
    <row r="15" spans="1:6" x14ac:dyDescent="0.25">
      <c r="A15" t="s">
        <v>187</v>
      </c>
      <c r="B15" t="s">
        <v>188</v>
      </c>
      <c r="C15" t="s">
        <v>189</v>
      </c>
      <c r="D15" t="s">
        <v>190</v>
      </c>
      <c r="E15">
        <v>1</v>
      </c>
    </row>
    <row r="16" spans="1:6" x14ac:dyDescent="0.25">
      <c r="A16" t="s">
        <v>191</v>
      </c>
      <c r="B16" t="s">
        <v>192</v>
      </c>
      <c r="C16" t="s">
        <v>193</v>
      </c>
      <c r="D16" t="s">
        <v>194</v>
      </c>
      <c r="E16">
        <v>1</v>
      </c>
    </row>
    <row r="17" spans="1:5" x14ac:dyDescent="0.25">
      <c r="A17" t="s">
        <v>195</v>
      </c>
      <c r="B17" t="s">
        <v>196</v>
      </c>
      <c r="C17" t="s">
        <v>197</v>
      </c>
      <c r="D17" t="s">
        <v>198</v>
      </c>
      <c r="E17">
        <v>1</v>
      </c>
    </row>
    <row r="18" spans="1:5" x14ac:dyDescent="0.25">
      <c r="A18" t="s">
        <v>199</v>
      </c>
      <c r="B18" t="s">
        <v>200</v>
      </c>
      <c r="C18" t="s">
        <v>47</v>
      </c>
      <c r="D18" t="s">
        <v>43</v>
      </c>
      <c r="E18">
        <v>1</v>
      </c>
    </row>
    <row r="19" spans="1:5" x14ac:dyDescent="0.25">
      <c r="A19" t="s">
        <v>201</v>
      </c>
      <c r="B19" t="s">
        <v>202</v>
      </c>
      <c r="C19" t="s">
        <v>8</v>
      </c>
      <c r="D19" t="s">
        <v>203</v>
      </c>
      <c r="E19">
        <v>1</v>
      </c>
    </row>
    <row r="20" spans="1:5" x14ac:dyDescent="0.25">
      <c r="A20" t="s">
        <v>62</v>
      </c>
      <c r="B20" t="s">
        <v>71</v>
      </c>
      <c r="C20" t="s">
        <v>8</v>
      </c>
      <c r="D20" t="s">
        <v>204</v>
      </c>
      <c r="E20">
        <v>1</v>
      </c>
    </row>
    <row r="21" spans="1:5" x14ac:dyDescent="0.25">
      <c r="A21" t="s">
        <v>66</v>
      </c>
      <c r="B21" t="s">
        <v>205</v>
      </c>
      <c r="C21" t="s">
        <v>206</v>
      </c>
      <c r="D21" t="s">
        <v>207</v>
      </c>
      <c r="E21">
        <v>1</v>
      </c>
    </row>
    <row r="22" spans="1:5" x14ac:dyDescent="0.25">
      <c r="A22" t="s">
        <v>70</v>
      </c>
      <c r="B22" t="s">
        <v>208</v>
      </c>
      <c r="C22" t="s">
        <v>209</v>
      </c>
      <c r="D22" t="s">
        <v>210</v>
      </c>
      <c r="E22">
        <v>1</v>
      </c>
    </row>
    <row r="23" spans="1:5" x14ac:dyDescent="0.25">
      <c r="A23" t="s">
        <v>78</v>
      </c>
      <c r="B23" t="s">
        <v>211</v>
      </c>
      <c r="C23" t="s">
        <v>8</v>
      </c>
      <c r="D23" t="s">
        <v>212</v>
      </c>
      <c r="E23">
        <v>1</v>
      </c>
    </row>
    <row r="24" spans="1:5" x14ac:dyDescent="0.25">
      <c r="A24" t="s">
        <v>213</v>
      </c>
      <c r="B24" t="s">
        <v>214</v>
      </c>
      <c r="C24" t="s">
        <v>8</v>
      </c>
      <c r="D24" t="s">
        <v>215</v>
      </c>
      <c r="E24">
        <v>1</v>
      </c>
    </row>
    <row r="25" spans="1:5" x14ac:dyDescent="0.25">
      <c r="A25" t="s">
        <v>216</v>
      </c>
      <c r="B25" t="s">
        <v>217</v>
      </c>
      <c r="C25" t="s">
        <v>218</v>
      </c>
      <c r="D25" t="s">
        <v>194</v>
      </c>
      <c r="E25">
        <v>4</v>
      </c>
    </row>
    <row r="26" spans="1:5" x14ac:dyDescent="0.25">
      <c r="A26" t="s">
        <v>219</v>
      </c>
      <c r="B26" t="s">
        <v>220</v>
      </c>
      <c r="C26" t="s">
        <v>221</v>
      </c>
      <c r="D26" t="s">
        <v>55</v>
      </c>
      <c r="E26">
        <v>1</v>
      </c>
    </row>
    <row r="27" spans="1:5" x14ac:dyDescent="0.25">
      <c r="A27" t="s">
        <v>222</v>
      </c>
      <c r="B27" t="s">
        <v>223</v>
      </c>
      <c r="C27" t="s">
        <v>8</v>
      </c>
      <c r="D27" t="s">
        <v>24</v>
      </c>
      <c r="E27">
        <v>5</v>
      </c>
    </row>
    <row r="28" spans="1:5" x14ac:dyDescent="0.25">
      <c r="A28" t="s">
        <v>224</v>
      </c>
      <c r="B28" t="s">
        <v>103</v>
      </c>
      <c r="C28" t="s">
        <v>8</v>
      </c>
      <c r="D28" t="s">
        <v>24</v>
      </c>
      <c r="E28">
        <v>2</v>
      </c>
    </row>
    <row r="29" spans="1:5" x14ac:dyDescent="0.25">
      <c r="A29" t="s">
        <v>225</v>
      </c>
      <c r="B29" t="s">
        <v>106</v>
      </c>
      <c r="C29" t="s">
        <v>8</v>
      </c>
      <c r="D29" t="s">
        <v>24</v>
      </c>
      <c r="E29">
        <v>1</v>
      </c>
    </row>
    <row r="30" spans="1:5" x14ac:dyDescent="0.25">
      <c r="A30" t="s">
        <v>97</v>
      </c>
      <c r="B30" t="s">
        <v>226</v>
      </c>
      <c r="C30" t="s">
        <v>8</v>
      </c>
      <c r="D30" t="s">
        <v>24</v>
      </c>
      <c r="E30">
        <v>1</v>
      </c>
    </row>
    <row r="31" spans="1:5" x14ac:dyDescent="0.25">
      <c r="A31" t="s">
        <v>227</v>
      </c>
      <c r="B31" t="s">
        <v>228</v>
      </c>
      <c r="C31" t="s">
        <v>8</v>
      </c>
      <c r="D31" t="s">
        <v>24</v>
      </c>
      <c r="E31">
        <v>5</v>
      </c>
    </row>
    <row r="32" spans="1:5" x14ac:dyDescent="0.25">
      <c r="A32" t="s">
        <v>229</v>
      </c>
      <c r="B32" t="s">
        <v>230</v>
      </c>
      <c r="C32" t="s">
        <v>8</v>
      </c>
      <c r="D32" t="s">
        <v>24</v>
      </c>
      <c r="E32">
        <v>4</v>
      </c>
    </row>
    <row r="33" spans="1:5" x14ac:dyDescent="0.25">
      <c r="A33" t="s">
        <v>231</v>
      </c>
      <c r="B33">
        <v>0</v>
      </c>
      <c r="C33" t="s">
        <v>8</v>
      </c>
      <c r="D33" t="s">
        <v>24</v>
      </c>
      <c r="E33">
        <v>5</v>
      </c>
    </row>
    <row r="34" spans="1:5" x14ac:dyDescent="0.25">
      <c r="A34" t="s">
        <v>232</v>
      </c>
      <c r="B34" t="s">
        <v>233</v>
      </c>
      <c r="C34" t="s">
        <v>8</v>
      </c>
      <c r="D34" t="s">
        <v>24</v>
      </c>
      <c r="E34">
        <v>3</v>
      </c>
    </row>
    <row r="35" spans="1:5" x14ac:dyDescent="0.25">
      <c r="A35" t="s">
        <v>234</v>
      </c>
      <c r="B35" t="s">
        <v>235</v>
      </c>
      <c r="C35" t="s">
        <v>8</v>
      </c>
      <c r="D35" t="s">
        <v>24</v>
      </c>
      <c r="E35">
        <v>1</v>
      </c>
    </row>
    <row r="36" spans="1:5" x14ac:dyDescent="0.25">
      <c r="A36" t="s">
        <v>236</v>
      </c>
      <c r="B36" t="s">
        <v>237</v>
      </c>
      <c r="C36" t="s">
        <v>8</v>
      </c>
      <c r="D36" t="s">
        <v>24</v>
      </c>
      <c r="E36">
        <v>2</v>
      </c>
    </row>
    <row r="37" spans="1:5" x14ac:dyDescent="0.25">
      <c r="A37" t="s">
        <v>238</v>
      </c>
      <c r="B37">
        <v>470</v>
      </c>
      <c r="C37" t="s">
        <v>8</v>
      </c>
      <c r="D37" t="s">
        <v>24</v>
      </c>
      <c r="E37">
        <v>1</v>
      </c>
    </row>
    <row r="38" spans="1:5" x14ac:dyDescent="0.25">
      <c r="A38" t="s">
        <v>239</v>
      </c>
      <c r="B38" t="s">
        <v>240</v>
      </c>
      <c r="C38" t="s">
        <v>8</v>
      </c>
      <c r="D38" t="s">
        <v>24</v>
      </c>
      <c r="E38">
        <v>1</v>
      </c>
    </row>
    <row r="39" spans="1:5" x14ac:dyDescent="0.25">
      <c r="A39" t="s">
        <v>272</v>
      </c>
      <c r="B39" t="s">
        <v>241</v>
      </c>
      <c r="C39" t="s">
        <v>8</v>
      </c>
      <c r="D39" t="s">
        <v>242</v>
      </c>
      <c r="E39">
        <v>2</v>
      </c>
    </row>
    <row r="40" spans="1:5" x14ac:dyDescent="0.25">
      <c r="A40" t="s">
        <v>118</v>
      </c>
      <c r="B40" t="s">
        <v>132</v>
      </c>
      <c r="C40" t="s">
        <v>133</v>
      </c>
      <c r="D40" t="s">
        <v>134</v>
      </c>
      <c r="E40">
        <v>1</v>
      </c>
    </row>
    <row r="41" spans="1:5" x14ac:dyDescent="0.25">
      <c r="A41" t="s">
        <v>243</v>
      </c>
      <c r="B41" t="s">
        <v>137</v>
      </c>
      <c r="C41" t="s">
        <v>138</v>
      </c>
      <c r="D41" t="s">
        <v>139</v>
      </c>
      <c r="E41">
        <v>1</v>
      </c>
    </row>
    <row r="42" spans="1:5" x14ac:dyDescent="0.25">
      <c r="A42" t="s">
        <v>123</v>
      </c>
      <c r="B42" t="s">
        <v>244</v>
      </c>
      <c r="D42" t="s">
        <v>245</v>
      </c>
      <c r="E42">
        <v>1</v>
      </c>
    </row>
    <row r="43" spans="1:5" x14ac:dyDescent="0.25">
      <c r="A43" t="s">
        <v>126</v>
      </c>
      <c r="B43" t="s">
        <v>246</v>
      </c>
      <c r="C43" t="s">
        <v>247</v>
      </c>
      <c r="D43" t="s">
        <v>248</v>
      </c>
      <c r="E43">
        <v>1</v>
      </c>
    </row>
    <row r="44" spans="1:5" x14ac:dyDescent="0.25">
      <c r="A44" t="s">
        <v>136</v>
      </c>
      <c r="B44" t="s">
        <v>249</v>
      </c>
      <c r="C44" t="s">
        <v>249</v>
      </c>
      <c r="D44" t="s">
        <v>250</v>
      </c>
      <c r="E44">
        <v>1</v>
      </c>
    </row>
    <row r="45" spans="1:5" x14ac:dyDescent="0.25">
      <c r="A45" t="s">
        <v>141</v>
      </c>
      <c r="B45" t="s">
        <v>251</v>
      </c>
      <c r="C45" t="s">
        <v>252</v>
      </c>
      <c r="D45" t="s">
        <v>253</v>
      </c>
      <c r="E45">
        <v>1</v>
      </c>
    </row>
    <row r="46" spans="1:5" x14ac:dyDescent="0.25">
      <c r="A46" t="s">
        <v>254</v>
      </c>
      <c r="B46" t="s">
        <v>255</v>
      </c>
      <c r="C46" t="s">
        <v>8</v>
      </c>
      <c r="D46" t="s">
        <v>256</v>
      </c>
      <c r="E46">
        <v>1</v>
      </c>
    </row>
    <row r="47" spans="1:5" x14ac:dyDescent="0.25">
      <c r="A47" t="s">
        <v>257</v>
      </c>
      <c r="B47" t="s">
        <v>258</v>
      </c>
      <c r="C47" t="s">
        <v>8</v>
      </c>
      <c r="D47" t="s">
        <v>256</v>
      </c>
      <c r="E4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7"/>
  <sheetViews>
    <sheetView tabSelected="1" workbookViewId="0">
      <selection activeCell="D3" sqref="D3"/>
    </sheetView>
  </sheetViews>
  <sheetFormatPr defaultRowHeight="15" x14ac:dyDescent="0.25"/>
  <sheetData>
    <row r="3" spans="2:3" x14ac:dyDescent="0.25">
      <c r="B3" t="s">
        <v>540</v>
      </c>
      <c r="C3">
        <f>1508+900</f>
        <v>2408</v>
      </c>
    </row>
    <row r="4" spans="2:3" x14ac:dyDescent="0.25">
      <c r="B4" t="s">
        <v>541</v>
      </c>
      <c r="C4">
        <f>SUM('Purchase 2'!Q51+'Purchase 1'!Q60)</f>
        <v>40138.654999999999</v>
      </c>
    </row>
    <row r="5" spans="2:3" x14ac:dyDescent="0.25">
      <c r="B5" t="s">
        <v>542</v>
      </c>
      <c r="C5">
        <v>500</v>
      </c>
    </row>
    <row r="6" spans="2:3" x14ac:dyDescent="0.25">
      <c r="B6" t="s">
        <v>544</v>
      </c>
      <c r="C6">
        <f>SUM(C3:C5)</f>
        <v>43046.654999999999</v>
      </c>
    </row>
    <row r="7" spans="2:3" x14ac:dyDescent="0.25">
      <c r="B7" t="s">
        <v>307</v>
      </c>
      <c r="C7">
        <f>C6/5</f>
        <v>8609.3310000000001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Purchase 1</vt:lpstr>
      <vt:lpstr>Purchase 2</vt:lpstr>
      <vt:lpstr>Gateway</vt:lpstr>
      <vt:lpstr>Sim</vt:lpstr>
      <vt:lpstr>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2025-07-30T09:44:35Z</dcterms:modified>
</cp:coreProperties>
</file>