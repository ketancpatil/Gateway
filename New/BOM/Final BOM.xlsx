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OM Calculation" sheetId="1" r:id="rId1"/>
    <sheet name="Purchase1" sheetId="2" r:id="rId2"/>
    <sheet name="Purchase2" sheetId="5" r:id="rId3"/>
    <sheet name="Gateway" sheetId="3" r:id="rId4"/>
    <sheet name="Microcontroller" sheetId="4" r:id="rId5"/>
  </sheets>
  <calcPr calcId="152511"/>
</workbook>
</file>

<file path=xl/calcChain.xml><?xml version="1.0" encoding="utf-8"?>
<calcChain xmlns="http://schemas.openxmlformats.org/spreadsheetml/2006/main">
  <c r="C24" i="1" l="1"/>
  <c r="C21" i="1"/>
  <c r="C20" i="1"/>
  <c r="F13" i="1"/>
  <c r="F5" i="1"/>
  <c r="F6" i="1"/>
  <c r="F7" i="1"/>
  <c r="F8" i="1"/>
  <c r="F9" i="1"/>
  <c r="F10" i="1"/>
  <c r="F11" i="1"/>
  <c r="F12" i="1"/>
  <c r="F4" i="1"/>
  <c r="D12" i="1"/>
  <c r="D11" i="1"/>
  <c r="D10" i="1"/>
  <c r="D9" i="1"/>
  <c r="D7" i="1"/>
  <c r="D6" i="1"/>
  <c r="D5" i="1"/>
  <c r="D4" i="1"/>
  <c r="C13" i="1"/>
  <c r="C12" i="1"/>
  <c r="C11" i="1"/>
  <c r="C10" i="1"/>
  <c r="C9" i="1"/>
  <c r="C8" i="1"/>
  <c r="C5" i="1"/>
  <c r="C7" i="1"/>
  <c r="C6" i="1"/>
  <c r="C4" i="1"/>
  <c r="J12" i="4"/>
  <c r="J11" i="4"/>
  <c r="J10" i="4"/>
  <c r="J7" i="4"/>
  <c r="J6" i="4"/>
  <c r="J5" i="4"/>
  <c r="J9" i="4"/>
  <c r="J8" i="4"/>
  <c r="J9" i="3"/>
  <c r="J8" i="3"/>
  <c r="J7" i="3"/>
  <c r="J6" i="3"/>
  <c r="J5" i="3"/>
  <c r="J12" i="3"/>
  <c r="J10" i="3"/>
  <c r="J11" i="3"/>
  <c r="J13" i="3" l="1"/>
</calcChain>
</file>

<file path=xl/sharedStrings.xml><?xml version="1.0" encoding="utf-8"?>
<sst xmlns="http://schemas.openxmlformats.org/spreadsheetml/2006/main" count="730" uniqueCount="321">
  <si>
    <t>Gateway BOM</t>
  </si>
  <si>
    <t>Reference</t>
  </si>
  <si>
    <t>Value</t>
  </si>
  <si>
    <t>Datasheet</t>
  </si>
  <si>
    <t>Footprint</t>
  </si>
  <si>
    <t>Qty</t>
  </si>
  <si>
    <t>BT1</t>
  </si>
  <si>
    <t>Battery_Cell</t>
  </si>
  <si>
    <t>~</t>
  </si>
  <si>
    <t>Battery:BatteryHolder_Keystone_500</t>
  </si>
  <si>
    <t>C1,C2,C3,C6,C8,C9,C11,C17,C26,C28,C29,C30,C31</t>
  </si>
  <si>
    <t>100nF</t>
  </si>
  <si>
    <t>Capacitor_SMD:C_1206_3216Metric_Pad1.33x1.80mm_HandSolder</t>
  </si>
  <si>
    <t>C4</t>
  </si>
  <si>
    <t>100V 0.1uF</t>
  </si>
  <si>
    <t>Capacitor_THT:C_Rect_L7.0mm_W2.5mm_P5.00mm</t>
  </si>
  <si>
    <t>C5</t>
  </si>
  <si>
    <t>470uF 50V</t>
  </si>
  <si>
    <t>Capacitor_THT:CP_Radial_D10.0mm_P5.00mm</t>
  </si>
  <si>
    <t>C7,C27</t>
  </si>
  <si>
    <t>4.7uF</t>
  </si>
  <si>
    <t>C10</t>
  </si>
  <si>
    <t>100V 1uF</t>
  </si>
  <si>
    <t>Capacitor_THT:C_Rect_L10.3mm_W5.7mm_P7.50mm_MKS4</t>
  </si>
  <si>
    <t>C13,C14,C15,C21,C22,C23,C24</t>
  </si>
  <si>
    <t>10uF</t>
  </si>
  <si>
    <t>C19</t>
  </si>
  <si>
    <t>1000uF</t>
  </si>
  <si>
    <t>D1,D2,D3,D4</t>
  </si>
  <si>
    <t>D_Zener</t>
  </si>
  <si>
    <t>Diode_SMD:D_MicroMELF_Handsoldering</t>
  </si>
  <si>
    <t>D5</t>
  </si>
  <si>
    <t>LED</t>
  </si>
  <si>
    <t>LED_SMD:LED_1206_3216Metric_Pad1.42x1.75mm_HandSolder</t>
  </si>
  <si>
    <t>D6,D10</t>
  </si>
  <si>
    <t>SS34</t>
  </si>
  <si>
    <t>https://www.vishay.com/docs/88751/ss32.pdf</t>
  </si>
  <si>
    <t>Diode_SMD:D_SMA</t>
  </si>
  <si>
    <t>D7,D8,D9</t>
  </si>
  <si>
    <t>SMAJ6.5CA</t>
  </si>
  <si>
    <t>https://www.littelfuse.com/media?resourcetype=datasheets&amp;itemid=75e32973-b177-4ee3-a0ff-cedaf1abdb93&amp;filename=smaj-datasheet</t>
  </si>
  <si>
    <t>J1</t>
  </si>
  <si>
    <t>24V Input</t>
  </si>
  <si>
    <t>TerminalBlock_Phoenix:TerminalBlock_Phoenix_MKDS-3-2-5.08_1x02_P5.08mm_Horizontal</t>
  </si>
  <si>
    <t>J2</t>
  </si>
  <si>
    <t>USB_B</t>
  </si>
  <si>
    <t>Connector_USB:USB_B_OST_USB-B1HSxx_Horizontal</t>
  </si>
  <si>
    <t>J3</t>
  </si>
  <si>
    <t>Conn_01x15_Socket</t>
  </si>
  <si>
    <t>Connector_PinSocket_2.54mm:PinSocket_1x15_P2.54mm_Vertical</t>
  </si>
  <si>
    <t>J5</t>
  </si>
  <si>
    <t>Conn_01x05_Pin</t>
  </si>
  <si>
    <t>TerminalBlock_Phoenix:TerminalBlock_Phoenix_MKDS-3-5-5.08_1x05_P5.08mm_Horizontal</t>
  </si>
  <si>
    <t>J6</t>
  </si>
  <si>
    <t>Conn_01x03_Pin</t>
  </si>
  <si>
    <t>TerminalBlock_Phoenix:TerminalBlock_Phoenix_MKDS-3-3-5.08_1x03_P5.08mm_Horizontal</t>
  </si>
  <si>
    <t>L1</t>
  </si>
  <si>
    <t>12uH</t>
  </si>
  <si>
    <t>Inductor_SMD:L_Vishay_IHLP-5050</t>
  </si>
  <si>
    <t>L2</t>
  </si>
  <si>
    <t>100uH</t>
  </si>
  <si>
    <t>R1,R2</t>
  </si>
  <si>
    <t>0 Ohm</t>
  </si>
  <si>
    <t>Resistor_SMD:R_1206_3216Metric_Pad1.30x1.75mm_HandSolder</t>
  </si>
  <si>
    <t>R3,R4</t>
  </si>
  <si>
    <t>1k</t>
  </si>
  <si>
    <t>R9,R17</t>
  </si>
  <si>
    <t>100 Ohm</t>
  </si>
  <si>
    <t>R10</t>
  </si>
  <si>
    <t>121 Ohm</t>
  </si>
  <si>
    <t>R11,R12</t>
  </si>
  <si>
    <t>203 Ohm</t>
  </si>
  <si>
    <t>R13,R14,R15,R16,R27,R28,R29,R30</t>
  </si>
  <si>
    <t>10k Ohm</t>
  </si>
  <si>
    <t>R21,R22</t>
  </si>
  <si>
    <t>500 Ohm</t>
  </si>
  <si>
    <t>R23,R24,R25,R26,R31</t>
  </si>
  <si>
    <t>1k Ohm</t>
  </si>
  <si>
    <t>RV1</t>
  </si>
  <si>
    <t>40V</t>
  </si>
  <si>
    <t>Varistor:RV_Disc_D9mm_W3.9mm_P5mm</t>
  </si>
  <si>
    <t>U1</t>
  </si>
  <si>
    <t>FT232RL</t>
  </si>
  <si>
    <t>https://www.ftdichip.com/Support/Documents/DataSheets/ICs/DS_FT232R.pdf</t>
  </si>
  <si>
    <t>Package_SO:SSOP-28_5.3x10.2mm_P0.65mm</t>
  </si>
  <si>
    <t>U2</t>
  </si>
  <si>
    <t>LM2576HVS-5</t>
  </si>
  <si>
    <t>http://www.ti.com/lit/ds/symlink/lm2576.pdf</t>
  </si>
  <si>
    <t>Package_TO_SOT_SMD:TO-263-5_TabPin3</t>
  </si>
  <si>
    <t>U3</t>
  </si>
  <si>
    <t>LM324N</t>
  </si>
  <si>
    <t>Package_SO:SOIC-14_3.9x8.7mm_P1.27mm</t>
  </si>
  <si>
    <t>U4</t>
  </si>
  <si>
    <t>MAX485E</t>
  </si>
  <si>
    <t>https://datasheets.maximintegrated.com/en/ds/MAX1487E-MAX491E.pdf</t>
  </si>
  <si>
    <t>Package_SO:SOIC-8_3.9x4.9mm_P1.27mm</t>
  </si>
  <si>
    <t>U5</t>
  </si>
  <si>
    <t>AMS1117-3.3</t>
  </si>
  <si>
    <t>http://www.advanced-monolithic.com/pdf/ds1117.pdf</t>
  </si>
  <si>
    <t>Package_TO_SOT_SMD:SOT-223-3_TabPin2</t>
  </si>
  <si>
    <t>U6</t>
  </si>
  <si>
    <t>TXS0104EPW</t>
  </si>
  <si>
    <t>www.ti.com/lit/ds/symlink/txs0104e.pdf</t>
  </si>
  <si>
    <t>Package_SO:TSSOP-14_4.4x5mm_P0.65mm</t>
  </si>
  <si>
    <t>U7</t>
  </si>
  <si>
    <t>TCMT4600</t>
  </si>
  <si>
    <t>Package_SO:SOP-16_4.55x10.3mm_P1.27mm</t>
  </si>
  <si>
    <t>U8</t>
  </si>
  <si>
    <t>DS3231M</t>
  </si>
  <si>
    <t>http://datasheets.maximintegrated.com/en/ds/DS3231.pdf</t>
  </si>
  <si>
    <t>Package_SO:SOIC-16W_7.5x10.3mm_P1.27mm</t>
  </si>
  <si>
    <t>U11</t>
  </si>
  <si>
    <t>CRE1S0505SC</t>
  </si>
  <si>
    <t>http://power.murata.com/datasheet?/data/power/ncl/kdc_cre1.pdf</t>
  </si>
  <si>
    <t>Converter_DCDC:Converter_DCDC_Murata_CRE1xxxxxxSC_THT</t>
  </si>
  <si>
    <t>Sr No</t>
  </si>
  <si>
    <t>Quantity</t>
  </si>
  <si>
    <t xml:space="preserve">Capacitor </t>
  </si>
  <si>
    <t>Resister</t>
  </si>
  <si>
    <t>Inductor</t>
  </si>
  <si>
    <t>THT</t>
  </si>
  <si>
    <t>Diode</t>
  </si>
  <si>
    <t>MELF</t>
  </si>
  <si>
    <t>IC</t>
  </si>
  <si>
    <t>TOTAL</t>
  </si>
  <si>
    <t>SMD</t>
  </si>
  <si>
    <t>SMA</t>
  </si>
  <si>
    <t>SSOP-28,TO-263-5,SOIC-14,SOIC-8,SOT-223-3,TSSOP-14,SOP-16,SOIC-16W</t>
  </si>
  <si>
    <t>Type</t>
  </si>
  <si>
    <t>Package</t>
  </si>
  <si>
    <t>lead</t>
  </si>
  <si>
    <t>Description</t>
  </si>
  <si>
    <t>BOOT1</t>
  </si>
  <si>
    <t>Button_Switch_SMD:SW_SPST_CK_RS282G05A3</t>
  </si>
  <si>
    <t>Jumper, 2-pole, open</t>
  </si>
  <si>
    <t>C1,C3</t>
  </si>
  <si>
    <t>22uF 25V</t>
  </si>
  <si>
    <t>Unpolarized capacitor</t>
  </si>
  <si>
    <t>C2,C4,C5</t>
  </si>
  <si>
    <t>100nF 10V</t>
  </si>
  <si>
    <t>C6,C7</t>
  </si>
  <si>
    <t>C8</t>
  </si>
  <si>
    <t>22uF 10V</t>
  </si>
  <si>
    <t>D1</t>
  </si>
  <si>
    <t>Light emitting diode</t>
  </si>
  <si>
    <t>Conn_01x15_Pin</t>
  </si>
  <si>
    <t>Connector_PinHeader_2.54mm:PinHeader_1x15_P2.54mm_Vertical</t>
  </si>
  <si>
    <t>Generic connector, single row, 01x15, script generated</t>
  </si>
  <si>
    <t>J2,J4,J5</t>
  </si>
  <si>
    <t>Conn_01x02_Pin</t>
  </si>
  <si>
    <t>Connector_JST:JST_XH_B2B-XH-A_1x02_P2.50mm_Vertical</t>
  </si>
  <si>
    <t>Generic connector, single row, 01x02, script generated</t>
  </si>
  <si>
    <t>Micro_SD_Card_Det_Hirose_DM3AT</t>
  </si>
  <si>
    <t>https://www.hirose.com/product/en/download_file/key_name/DM3/category/Catalog/doc_file_id/49662/?file_category_id=4&amp;item_id=195&amp;is_series=1</t>
  </si>
  <si>
    <t>Connector_Card:microSD_HC_Hirose_DM3AT-SF-PEJM5</t>
  </si>
  <si>
    <t>Micro SD Card Socket with card detection pins</t>
  </si>
  <si>
    <t>Q1,Q2</t>
  </si>
  <si>
    <t>NPN</t>
  </si>
  <si>
    <t>https://ngspice.sourceforge.io/docs/ngspice-html-manual/manual.xhtml#cha_BJTs</t>
  </si>
  <si>
    <t>Package_TO_SOT_SMD:SOT-23_Handsoldering</t>
  </si>
  <si>
    <t>Bipolar transistor symbol for simulation only, substrate tied to the emitter</t>
  </si>
  <si>
    <t>R1</t>
  </si>
  <si>
    <t>Resistor</t>
  </si>
  <si>
    <t>R2,R4,R6,R7</t>
  </si>
  <si>
    <t>R3,R5</t>
  </si>
  <si>
    <t>2.2k Ohm</t>
  </si>
  <si>
    <t>R8</t>
  </si>
  <si>
    <t>4.7k Ohm</t>
  </si>
  <si>
    <t>R9</t>
  </si>
  <si>
    <t>RST1</t>
  </si>
  <si>
    <t>1A Low Dropout regulator, positive, 3.3V fixed output, SOT-223</t>
  </si>
  <si>
    <t>ESP32-WROOM-32UE</t>
  </si>
  <si>
    <t>https://www.espressif.com/sites/default/files/documentation/esp32-wroom-32e_esp32-wroom-32ue_datasheet_en.pdf</t>
  </si>
  <si>
    <t>RF_Module:ESP32-WROOM-32UE</t>
  </si>
  <si>
    <t>RF Module, ESP32-D0WD-V3 SoC, without PSRAM, Wi-Fi 802.11b/g/n, Bluetooth, BLE, 32-bit, 2.7-3.6V, external antenna, SMD</t>
  </si>
  <si>
    <t>Single-cell battery</t>
  </si>
  <si>
    <t>Polarized capacitor</t>
  </si>
  <si>
    <t>Zener diode</t>
  </si>
  <si>
    <t>40V 3A Schottky Diode, SMA</t>
  </si>
  <si>
    <t>400W bidirectional Transient Voltage Suppressor, 6.5Vr, SMA(DO-214AC)</t>
  </si>
  <si>
    <t>USB Type B connector</t>
  </si>
  <si>
    <t>Generic connector, single row, 01x05, script generated</t>
  </si>
  <si>
    <t>Generic connector, single row, 01x03, script generated</t>
  </si>
  <si>
    <t>Inductor with ferrite core</t>
  </si>
  <si>
    <t>Voltage dependent resistor</t>
  </si>
  <si>
    <t>USB to Serial Interface, SSOP-28</t>
  </si>
  <si>
    <t>5V 3A, SIMPLE SWITCHERÂ® Step-Down Voltage Regulator, High Voltage Input, TO-263</t>
  </si>
  <si>
    <t>Half duplex RS-485/RS-422, 2.5 Mbps, Â±15kV electro-static discharge (ESD) protection, no slew-rate, no low-power shutdown, with receiver/driver enable, 32 receiver drive capability, DIP-8 and SOIC-8</t>
  </si>
  <si>
    <t>Bidirectional  level-shifting voltage translator, TSSOP-14</t>
  </si>
  <si>
    <t>Extremely Accurate I2C-Integrated RTC/TCXO/Crystal SOIC-16</t>
  </si>
  <si>
    <t>5V to 5V 200mA DC-DC Converter with 1kV isolation, SIP-4</t>
  </si>
  <si>
    <t>Microcontroller BOM</t>
  </si>
  <si>
    <t>Transister</t>
  </si>
  <si>
    <t>Button</t>
  </si>
  <si>
    <t>SOT-223-3</t>
  </si>
  <si>
    <t>SOT-23</t>
  </si>
  <si>
    <t>Lead</t>
  </si>
  <si>
    <t>CEM Electromech</t>
  </si>
  <si>
    <t>Capacitor</t>
  </si>
  <si>
    <t xml:space="preserve">Inductor </t>
  </si>
  <si>
    <t>Joint</t>
  </si>
  <si>
    <t>Cost per joint</t>
  </si>
  <si>
    <t xml:space="preserve">Mouser </t>
  </si>
  <si>
    <t>Digikey</t>
  </si>
  <si>
    <t>Robu</t>
  </si>
  <si>
    <t>PCB Print</t>
  </si>
  <si>
    <t>SMT</t>
  </si>
  <si>
    <t>Total</t>
  </si>
  <si>
    <t>Cost Per Unit</t>
  </si>
  <si>
    <t>PART TYPE</t>
  </si>
  <si>
    <t>PCB Footprint</t>
  </si>
  <si>
    <t>Manufacturer Part Number</t>
  </si>
  <si>
    <t>Manfacturer Name</t>
  </si>
  <si>
    <t>KEMET</t>
  </si>
  <si>
    <t>RES</t>
  </si>
  <si>
    <t xml:space="preserve">Coin Cell Holder </t>
  </si>
  <si>
    <t>CAP MLCC</t>
  </si>
  <si>
    <t>ZENER</t>
  </si>
  <si>
    <t>SMD LED</t>
  </si>
  <si>
    <t>Tactile Switch</t>
  </si>
  <si>
    <t>Pin Header</t>
  </si>
  <si>
    <t>Connector</t>
  </si>
  <si>
    <t>SD Card Slot</t>
  </si>
  <si>
    <t>LDO</t>
  </si>
  <si>
    <t>MCU</t>
  </si>
  <si>
    <t>ESP32-WROOM-32UE-N16</t>
  </si>
  <si>
    <t>Espressif Systems</t>
  </si>
  <si>
    <t>LM1117MP-3.3/NOPB</t>
  </si>
  <si>
    <t>Texas Instruments</t>
  </si>
  <si>
    <t>JST Sales America Inc.</t>
  </si>
  <si>
    <t>B2B-XH-A</t>
  </si>
  <si>
    <t>YAGEO</t>
  </si>
  <si>
    <t>RC1206FR-071KL</t>
  </si>
  <si>
    <t>RC1206FR-0710KL</t>
  </si>
  <si>
    <t>RC1206FR-132K2L</t>
  </si>
  <si>
    <t>RC1206FR-074K7L</t>
  </si>
  <si>
    <t>Hirose Connector</t>
  </si>
  <si>
    <t>DM3AT-SF-PEJM5</t>
  </si>
  <si>
    <t>MMBT3904LT1G</t>
  </si>
  <si>
    <t>Onsemi</t>
  </si>
  <si>
    <t>KR EELP41.22-Q1S1-36-A8J8-020-R18</t>
  </si>
  <si>
    <t>ams OSRAM</t>
  </si>
  <si>
    <t>GCJ31CC71C226ME02L</t>
  </si>
  <si>
    <t>Murata Electronics</t>
  </si>
  <si>
    <t>22uF 16V 1206</t>
  </si>
  <si>
    <t>10k Ohm 1206</t>
  </si>
  <si>
    <t>2.2k Ohm 1206</t>
  </si>
  <si>
    <t>4.7k Ohm 1206</t>
  </si>
  <si>
    <t>1k Ohm 1206</t>
  </si>
  <si>
    <t>GGM31CD70J226KE02L</t>
  </si>
  <si>
    <t>22uF 6.3V 1206</t>
  </si>
  <si>
    <t>0402X7R104KT7AT</t>
  </si>
  <si>
    <t>100nF 16V 1206</t>
  </si>
  <si>
    <t>KYOCERA AVX</t>
  </si>
  <si>
    <t>MOV</t>
  </si>
  <si>
    <t>RTC</t>
  </si>
  <si>
    <t>Buck Convertor</t>
  </si>
  <si>
    <t>Op-Amp</t>
  </si>
  <si>
    <t>DC/DC to Convertor</t>
  </si>
  <si>
    <t>USB to UART</t>
  </si>
  <si>
    <t>Schottky Diode</t>
  </si>
  <si>
    <t>TVS Diode</t>
  </si>
  <si>
    <t>Terminal Block</t>
  </si>
  <si>
    <t>USB-B Connector</t>
  </si>
  <si>
    <t>Female Header</t>
  </si>
  <si>
    <t>DTSMF-32N-V-T/R</t>
  </si>
  <si>
    <t>Diptronics</t>
  </si>
  <si>
    <t>LM324ADT</t>
  </si>
  <si>
    <t>STMicroelectronics</t>
  </si>
  <si>
    <t>TXS0104EPWR</t>
  </si>
  <si>
    <t>MAX485ESA+T</t>
  </si>
  <si>
    <t>Analog Devices / Maxim Integrated</t>
  </si>
  <si>
    <t>Vishay Semiconductors</t>
  </si>
  <si>
    <t>DS3231SN#T&amp;R</t>
  </si>
  <si>
    <t>TBA 1-0511</t>
  </si>
  <si>
    <t>TRACO Power</t>
  </si>
  <si>
    <t>LM2576D2TR4-5G</t>
  </si>
  <si>
    <t>onsemi</t>
  </si>
  <si>
    <t>FTDI, Future Technology Devices International Ltd</t>
  </si>
  <si>
    <t>FT232RL-REEL</t>
  </si>
  <si>
    <t>MOV-07D470K</t>
  </si>
  <si>
    <t>BOURNS</t>
  </si>
  <si>
    <t>R3,R4,R23,R24,R25,R26,R31</t>
  </si>
  <si>
    <t>BAT-HLD-011-THM</t>
  </si>
  <si>
    <t xml:space="preserve">TE Connectivity / Linx Technologies
</t>
  </si>
  <si>
    <t>MMK5104J100J01L15.0CBULK</t>
  </si>
  <si>
    <t xml:space="preserve">Electrolytic CAP </t>
  </si>
  <si>
    <t>Electrolytic CAP</t>
  </si>
  <si>
    <t>MMK15105J100B04L4BULK</t>
  </si>
  <si>
    <t>CAP polyester</t>
  </si>
  <si>
    <t>C2,C4,C5,C6,C7</t>
  </si>
  <si>
    <t>MAL215051471E3</t>
  </si>
  <si>
    <t>Vishay</t>
  </si>
  <si>
    <t>C1206X475K4NACAUTO</t>
  </si>
  <si>
    <t>CGA5L1X7R1E106K160AC</t>
  </si>
  <si>
    <t>TDK</t>
  </si>
  <si>
    <t>MAL215055102E3</t>
  </si>
  <si>
    <t>1N4679</t>
  </si>
  <si>
    <t>Microchip Technology</t>
  </si>
  <si>
    <t>On Shore Technology Inc.</t>
  </si>
  <si>
    <t>OSTVN02A150</t>
  </si>
  <si>
    <t>OSTVN05A150</t>
  </si>
  <si>
    <t>OSTVN03A150</t>
  </si>
  <si>
    <t>2308-6121TG</t>
  </si>
  <si>
    <t>3M Electronic Solutions Division</t>
  </si>
  <si>
    <t>HDR100IMP40F-G-V-TH</t>
  </si>
  <si>
    <t>Chip Quik</t>
  </si>
  <si>
    <t>MSD1278-123MLD</t>
  </si>
  <si>
    <t>Coilcraft</t>
  </si>
  <si>
    <t>Wurth Elektronik</t>
  </si>
  <si>
    <t>CRCW04020000Z0EEHP</t>
  </si>
  <si>
    <t>ERJ-P08J101V</t>
  </si>
  <si>
    <t>Panasonic</t>
  </si>
  <si>
    <t>AT1206CRD07124KL</t>
  </si>
  <si>
    <t>CR1206-JW-201ELF</t>
  </si>
  <si>
    <t>Bourns</t>
  </si>
  <si>
    <t>PLT1206Z5000AST5</t>
  </si>
  <si>
    <t>UE27-BC54-13H</t>
  </si>
  <si>
    <t>Amphenol Commercial Products</t>
  </si>
  <si>
    <t>SAMPLE BILL OF MATERIAL 2</t>
  </si>
  <si>
    <t>SAMPLE BILL OF MATERIAL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</si>
</sst>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3F3F76"/>
      <name val="Calibri"/>
      <family val="2"/>
      <scheme val="minor"/>
    </font>
    <font>
      <sz val="24"/>
      <color rgb="FF3F3F76"/>
      <name val="Calibri"/>
      <family val="2"/>
      <scheme val="minor"/>
    </font>
    <font>
      <sz val="10"/>
      <color rgb="FF333333"/>
      <name val="Arial"/>
      <family val="2"/>
    </font>
    <font>
      <sz val="10"/>
      <color rgb="FF1616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9">
    <xf numFmtId="0" fontId="0" fillId="0" borderId="0" xfId="0"/>
    <xf numFmtId="0" fontId="1" fillId="2" borderId="1" xfId="1" applyAlignment="1">
      <alignment horizontal="center"/>
    </xf>
    <xf numFmtId="0" fontId="2" fillId="3" borderId="2" xfId="2"/>
    <xf numFmtId="0" fontId="2" fillId="3" borderId="3" xfId="2" applyBorder="1"/>
    <xf numFmtId="0" fontId="0" fillId="0" borderId="3" xfId="0" applyBorder="1"/>
    <xf numFmtId="0" fontId="0" fillId="0" borderId="0" xfId="0" applyAlignment="1"/>
    <xf numFmtId="0" fontId="4" fillId="2" borderId="8" xfId="1" applyFont="1" applyBorder="1" applyAlignment="1">
      <alignment horizontal="center"/>
    </xf>
    <xf numFmtId="0" fontId="4" fillId="2" borderId="0" xfId="1" applyFont="1" applyBorder="1" applyAlignment="1">
      <alignment horizontal="center"/>
    </xf>
    <xf numFmtId="0" fontId="3" fillId="2" borderId="1" xfId="1" applyFont="1" applyAlignment="1">
      <alignment horizontal="center"/>
    </xf>
    <xf numFmtId="0" fontId="2" fillId="3" borderId="9" xfId="2" applyBorder="1"/>
    <xf numFmtId="0" fontId="0" fillId="0" borderId="3" xfId="0" applyFill="1" applyBorder="1"/>
    <xf numFmtId="0" fontId="0" fillId="4" borderId="3" xfId="0" applyFill="1" applyBorder="1"/>
    <xf numFmtId="0" fontId="3" fillId="2" borderId="4" xfId="1" applyFont="1" applyBorder="1" applyAlignment="1">
      <alignment horizontal="center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0" fillId="0" borderId="0" xfId="0" applyBorder="1"/>
    <xf numFmtId="0" fontId="5" fillId="0" borderId="3" xfId="0" applyFont="1" applyBorder="1"/>
    <xf numFmtId="0" fontId="6" fillId="0" borderId="3" xfId="0" applyFont="1" applyBorder="1"/>
  </cellXfs>
  <cellStyles count="3">
    <cellStyle name="Check Cell" xfId="2" builtinId="23"/>
    <cellStyle name="Input" xfId="1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in/manufacturer/kyocera-avx/" TargetMode="External"/><Relationship Id="rId3" Type="http://schemas.openxmlformats.org/officeDocument/2006/relationships/hyperlink" Target="https://www.mouser.in/manufacturer/vishaysemiconductors/" TargetMode="External"/><Relationship Id="rId7" Type="http://schemas.openxmlformats.org/officeDocument/2006/relationships/hyperlink" Target="https://www.mouser.in/ProductDetail/KYOCERA-AVX/0402X7R104KT7AT?qs=DPoM0jnrROXD467pFR2ukA%3D%3D" TargetMode="External"/><Relationship Id="rId12" Type="http://schemas.openxmlformats.org/officeDocument/2006/relationships/hyperlink" Target="https://www.mouser.in/manufacturer/amphenolcommercial/" TargetMode="External"/><Relationship Id="rId2" Type="http://schemas.openxmlformats.org/officeDocument/2006/relationships/hyperlink" Target="https://www.mouser.in/manufacturer/texas-instruments/" TargetMode="External"/><Relationship Id="rId1" Type="http://schemas.openxmlformats.org/officeDocument/2006/relationships/hyperlink" Target="https://www.mouser.in/manufacturer/stmicroelectronics/" TargetMode="External"/><Relationship Id="rId6" Type="http://schemas.openxmlformats.org/officeDocument/2006/relationships/hyperlink" Target="https://in.element14.com/c/circuit-protection/tvs-transient-voltage-suppressors/tvs-varistors/prl/results?brand=bourns" TargetMode="External"/><Relationship Id="rId11" Type="http://schemas.openxmlformats.org/officeDocument/2006/relationships/hyperlink" Target="https://www.mouser.in/manufacturer/wurth-elektronik/" TargetMode="External"/><Relationship Id="rId5" Type="http://schemas.openxmlformats.org/officeDocument/2006/relationships/hyperlink" Target="https://www.mouser.in/manufacturer/onsemi/" TargetMode="External"/><Relationship Id="rId10" Type="http://schemas.openxmlformats.org/officeDocument/2006/relationships/hyperlink" Target="https://www.mouser.in/manufacturer/chipquik/" TargetMode="External"/><Relationship Id="rId4" Type="http://schemas.openxmlformats.org/officeDocument/2006/relationships/hyperlink" Target="https://www.mouser.in/manufacturer/traco-power/" TargetMode="External"/><Relationship Id="rId9" Type="http://schemas.openxmlformats.org/officeDocument/2006/relationships/hyperlink" Target="https://www.mouser.in/manufacturer/microchi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in/manufacturer/murataelectronics/" TargetMode="External"/><Relationship Id="rId2" Type="http://schemas.openxmlformats.org/officeDocument/2006/relationships/hyperlink" Target="https://www.mouser.in/manufacturer/murataelectronics/" TargetMode="External"/><Relationship Id="rId1" Type="http://schemas.openxmlformats.org/officeDocument/2006/relationships/hyperlink" Target="https://www.mouser.in/ProductDetail/Murata-Electronics/GCJ31CC71C226ME02L?qs=efUn273yAhcu4hcZv8C1jw%3D%3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ouser.in/manufacturer/kyocera-avx/" TargetMode="External"/><Relationship Id="rId4" Type="http://schemas.openxmlformats.org/officeDocument/2006/relationships/hyperlink" Target="https://www.mouser.in/ProductDetail/KYOCERA-AVX/0402X7R104KT7AT?qs=DPoM0jnrROXD467pFR2ukA%3D%3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tabSelected="1" workbookViewId="0">
      <selection activeCell="V10" sqref="V10"/>
    </sheetView>
  </sheetViews>
  <sheetFormatPr defaultRowHeight="15" x14ac:dyDescent="0.25"/>
  <cols>
    <col min="2" max="2" width="16.42578125" bestFit="1" customWidth="1"/>
  </cols>
  <sheetData>
    <row r="2" spans="2:6" ht="15.75" thickBot="1" x14ac:dyDescent="0.3">
      <c r="B2" t="s">
        <v>197</v>
      </c>
    </row>
    <row r="3" spans="2:6" ht="16.5" thickTop="1" thickBot="1" x14ac:dyDescent="0.3">
      <c r="B3" s="2" t="s">
        <v>128</v>
      </c>
      <c r="C3" s="2" t="s">
        <v>116</v>
      </c>
      <c r="D3" s="2" t="s">
        <v>200</v>
      </c>
      <c r="E3" s="2" t="s">
        <v>201</v>
      </c>
      <c r="F3" s="2"/>
    </row>
    <row r="4" spans="2:6" ht="15.75" thickTop="1" x14ac:dyDescent="0.25">
      <c r="B4" s="4" t="s">
        <v>198</v>
      </c>
      <c r="C4" s="4">
        <f>SUM(Gateway!J5+Microcontroller!J5)</f>
        <v>30</v>
      </c>
      <c r="D4" s="4">
        <f>C4*2</f>
        <v>60</v>
      </c>
      <c r="E4" s="4">
        <v>0.25</v>
      </c>
      <c r="F4" s="4">
        <f>D4*E4</f>
        <v>15</v>
      </c>
    </row>
    <row r="5" spans="2:6" x14ac:dyDescent="0.25">
      <c r="B5" s="4" t="s">
        <v>118</v>
      </c>
      <c r="C5" s="4">
        <f>SUM(Gateway!J6+Microcontroller!J6)</f>
        <v>33</v>
      </c>
      <c r="D5" s="4">
        <f>C5*2</f>
        <v>66</v>
      </c>
      <c r="E5" s="4">
        <v>0.25</v>
      </c>
      <c r="F5" s="4">
        <f t="shared" ref="F5:F12" si="0">D5*E5</f>
        <v>16.5</v>
      </c>
    </row>
    <row r="6" spans="2:6" x14ac:dyDescent="0.25">
      <c r="B6" s="4" t="s">
        <v>193</v>
      </c>
      <c r="C6" s="4">
        <f>SUM(Microcontroller!J11)</f>
        <v>1</v>
      </c>
      <c r="D6" s="4">
        <f>C6*2</f>
        <v>2</v>
      </c>
      <c r="E6" s="4">
        <v>0.25</v>
      </c>
      <c r="F6" s="4">
        <f t="shared" si="0"/>
        <v>0.5</v>
      </c>
    </row>
    <row r="7" spans="2:6" x14ac:dyDescent="0.25">
      <c r="B7" s="4" t="s">
        <v>121</v>
      </c>
      <c r="C7" s="4">
        <f>SUM(Gateway!J9)</f>
        <v>5</v>
      </c>
      <c r="D7" s="4">
        <f>C7*2</f>
        <v>10</v>
      </c>
      <c r="E7" s="4">
        <v>0.25</v>
      </c>
      <c r="F7" s="4">
        <f t="shared" si="0"/>
        <v>2.5</v>
      </c>
    </row>
    <row r="8" spans="2:6" x14ac:dyDescent="0.25">
      <c r="B8" s="4" t="s">
        <v>123</v>
      </c>
      <c r="C8" s="4">
        <f>SUM(Gateway!J11+Microcontroller!J8)</f>
        <v>10</v>
      </c>
      <c r="D8" s="4"/>
      <c r="E8" s="4"/>
      <c r="F8" s="4">
        <f t="shared" si="0"/>
        <v>0</v>
      </c>
    </row>
    <row r="9" spans="2:6" x14ac:dyDescent="0.25">
      <c r="B9" s="4" t="s">
        <v>199</v>
      </c>
      <c r="C9" s="4">
        <f>SUM(Gateway!J7)</f>
        <v>2</v>
      </c>
      <c r="D9" s="4">
        <f>C9*2</f>
        <v>4</v>
      </c>
      <c r="E9" s="4">
        <v>0.25</v>
      </c>
      <c r="F9" s="4">
        <f t="shared" si="0"/>
        <v>1</v>
      </c>
    </row>
    <row r="10" spans="2:6" x14ac:dyDescent="0.25">
      <c r="B10" s="4" t="s">
        <v>122</v>
      </c>
      <c r="C10" s="4">
        <f>SUM(Gateway!J10)</f>
        <v>4</v>
      </c>
      <c r="D10" s="4">
        <f>C10*2</f>
        <v>8</v>
      </c>
      <c r="E10" s="4">
        <v>0.25</v>
      </c>
      <c r="F10" s="4">
        <f t="shared" si="0"/>
        <v>2</v>
      </c>
    </row>
    <row r="11" spans="2:6" x14ac:dyDescent="0.25">
      <c r="B11" s="4" t="s">
        <v>32</v>
      </c>
      <c r="C11" s="4">
        <f>SUM(Gateway!J12+Microcontroller!J9)</f>
        <v>2</v>
      </c>
      <c r="D11" s="4">
        <f>C11*2</f>
        <v>4</v>
      </c>
      <c r="E11" s="4">
        <v>0.25</v>
      </c>
      <c r="F11" s="4">
        <f t="shared" si="0"/>
        <v>1</v>
      </c>
    </row>
    <row r="12" spans="2:6" x14ac:dyDescent="0.25">
      <c r="B12" s="4" t="s">
        <v>192</v>
      </c>
      <c r="C12" s="4">
        <f>SUM(Microcontroller!J10)</f>
        <v>2</v>
      </c>
      <c r="D12" s="4">
        <f>C12*3</f>
        <v>6</v>
      </c>
      <c r="E12" s="4">
        <v>0.25</v>
      </c>
      <c r="F12" s="4">
        <f t="shared" si="0"/>
        <v>1.5</v>
      </c>
    </row>
    <row r="13" spans="2:6" x14ac:dyDescent="0.25">
      <c r="B13" s="4" t="s">
        <v>124</v>
      </c>
      <c r="C13" s="4">
        <f>SUM(C4:C12)</f>
        <v>89</v>
      </c>
      <c r="D13" s="4"/>
      <c r="E13" s="4"/>
      <c r="F13" s="4">
        <f>SUM(F4:F12)</f>
        <v>40</v>
      </c>
    </row>
    <row r="16" spans="2:6" x14ac:dyDescent="0.25">
      <c r="B16" s="4" t="s">
        <v>202</v>
      </c>
      <c r="C16" s="4"/>
    </row>
    <row r="17" spans="2:3" x14ac:dyDescent="0.25">
      <c r="B17" s="4" t="s">
        <v>203</v>
      </c>
      <c r="C17" s="4"/>
    </row>
    <row r="18" spans="2:3" x14ac:dyDescent="0.25">
      <c r="B18" s="4" t="s">
        <v>204</v>
      </c>
      <c r="C18" s="4"/>
    </row>
    <row r="19" spans="2:3" x14ac:dyDescent="0.25">
      <c r="B19" s="4" t="s">
        <v>205</v>
      </c>
      <c r="C19" s="4">
        <v>14500</v>
      </c>
    </row>
    <row r="20" spans="2:3" x14ac:dyDescent="0.25">
      <c r="B20" s="4" t="s">
        <v>206</v>
      </c>
      <c r="C20" s="4">
        <f>F13*100</f>
        <v>4000</v>
      </c>
    </row>
    <row r="21" spans="2:3" x14ac:dyDescent="0.25">
      <c r="B21" s="4" t="s">
        <v>207</v>
      </c>
      <c r="C21" s="4">
        <f>SUM(C16:C20)</f>
        <v>18500</v>
      </c>
    </row>
    <row r="24" spans="2:3" x14ac:dyDescent="0.25">
      <c r="B24" s="11" t="s">
        <v>208</v>
      </c>
      <c r="C24" s="11">
        <f>C21/100</f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workbookViewId="0">
      <selection activeCell="B1" sqref="B1:I2"/>
    </sheetView>
  </sheetViews>
  <sheetFormatPr defaultRowHeight="15" x14ac:dyDescent="0.25"/>
  <cols>
    <col min="2" max="2" width="8.7109375" bestFit="1" customWidth="1"/>
    <col min="3" max="3" width="43.85546875" bestFit="1" customWidth="1"/>
    <col min="4" max="4" width="18.7109375" bestFit="1" customWidth="1"/>
    <col min="5" max="5" width="17" bestFit="1" customWidth="1"/>
    <col min="6" max="6" width="84" bestFit="1" customWidth="1"/>
    <col min="7" max="7" width="25.140625" bestFit="1" customWidth="1"/>
    <col min="8" max="8" width="17.85546875" bestFit="1" customWidth="1"/>
    <col min="9" max="9" width="101" bestFit="1" customWidth="1"/>
  </cols>
  <sheetData>
    <row r="1" spans="1:9" ht="15" customHeight="1" x14ac:dyDescent="0.25">
      <c r="B1" s="12" t="s">
        <v>320</v>
      </c>
      <c r="C1" s="13"/>
      <c r="D1" s="13"/>
      <c r="E1" s="13"/>
      <c r="F1" s="13"/>
      <c r="G1" s="13"/>
      <c r="H1" s="13"/>
      <c r="I1" s="13"/>
    </row>
    <row r="2" spans="1:9" ht="15" customHeight="1" x14ac:dyDescent="0.25">
      <c r="B2" s="14"/>
      <c r="C2" s="15"/>
      <c r="D2" s="15"/>
      <c r="E2" s="15"/>
      <c r="F2" s="15"/>
      <c r="G2" s="15"/>
      <c r="H2" s="15"/>
      <c r="I2" s="15"/>
    </row>
    <row r="3" spans="1:9" ht="15.75" thickBot="1" x14ac:dyDescent="0.3"/>
    <row r="4" spans="1:9" ht="16.5" thickTop="1" thickBot="1" x14ac:dyDescent="0.3">
      <c r="A4" s="2" t="s">
        <v>115</v>
      </c>
      <c r="B4" s="9" t="s">
        <v>116</v>
      </c>
      <c r="C4" s="9" t="s">
        <v>1</v>
      </c>
      <c r="D4" s="9" t="s">
        <v>2</v>
      </c>
      <c r="E4" s="9" t="s">
        <v>209</v>
      </c>
      <c r="F4" s="9" t="s">
        <v>210</v>
      </c>
      <c r="G4" s="9" t="s">
        <v>211</v>
      </c>
      <c r="H4" s="9" t="s">
        <v>212</v>
      </c>
      <c r="I4" s="9" t="s">
        <v>131</v>
      </c>
    </row>
    <row r="5" spans="1:9" ht="15.75" thickTop="1" x14ac:dyDescent="0.25">
      <c r="A5" s="4">
        <v>1</v>
      </c>
      <c r="B5" s="4">
        <v>1</v>
      </c>
      <c r="C5" s="4" t="s">
        <v>6</v>
      </c>
      <c r="D5" s="4" t="s">
        <v>7</v>
      </c>
      <c r="E5" s="4" t="s">
        <v>215</v>
      </c>
      <c r="F5" s="4" t="s">
        <v>9</v>
      </c>
      <c r="G5" s="17" t="s">
        <v>283</v>
      </c>
      <c r="H5" s="17" t="s">
        <v>284</v>
      </c>
      <c r="I5" s="4" t="s">
        <v>175</v>
      </c>
    </row>
    <row r="6" spans="1:9" x14ac:dyDescent="0.25">
      <c r="A6" s="4">
        <v>2</v>
      </c>
      <c r="B6" s="4">
        <v>2</v>
      </c>
      <c r="C6" s="4" t="s">
        <v>10</v>
      </c>
      <c r="D6" s="4" t="s">
        <v>11</v>
      </c>
      <c r="E6" s="4" t="s">
        <v>216</v>
      </c>
      <c r="F6" s="4" t="s">
        <v>12</v>
      </c>
      <c r="G6" s="4" t="s">
        <v>251</v>
      </c>
      <c r="H6" s="4" t="s">
        <v>253</v>
      </c>
      <c r="I6" s="4" t="s">
        <v>137</v>
      </c>
    </row>
    <row r="7" spans="1:9" x14ac:dyDescent="0.25">
      <c r="A7" s="4">
        <v>3</v>
      </c>
      <c r="B7" s="4">
        <v>1</v>
      </c>
      <c r="C7" s="4" t="s">
        <v>13</v>
      </c>
      <c r="D7" s="4" t="s">
        <v>14</v>
      </c>
      <c r="E7" s="4" t="s">
        <v>289</v>
      </c>
      <c r="F7" s="4" t="s">
        <v>15</v>
      </c>
      <c r="G7" s="17" t="s">
        <v>285</v>
      </c>
      <c r="H7" s="4" t="s">
        <v>213</v>
      </c>
      <c r="I7" s="4" t="s">
        <v>137</v>
      </c>
    </row>
    <row r="8" spans="1:9" x14ac:dyDescent="0.25">
      <c r="A8" s="4">
        <v>4</v>
      </c>
      <c r="B8" s="4">
        <v>1</v>
      </c>
      <c r="C8" s="4" t="s">
        <v>16</v>
      </c>
      <c r="D8" s="4" t="s">
        <v>17</v>
      </c>
      <c r="E8" s="4" t="s">
        <v>286</v>
      </c>
      <c r="F8" s="4" t="s">
        <v>18</v>
      </c>
      <c r="G8" s="17" t="s">
        <v>291</v>
      </c>
      <c r="H8" s="4" t="s">
        <v>292</v>
      </c>
      <c r="I8" s="4" t="s">
        <v>176</v>
      </c>
    </row>
    <row r="9" spans="1:9" x14ac:dyDescent="0.25">
      <c r="A9" s="4">
        <v>5</v>
      </c>
      <c r="B9" s="4">
        <v>2</v>
      </c>
      <c r="C9" s="4" t="s">
        <v>19</v>
      </c>
      <c r="D9" s="4" t="s">
        <v>20</v>
      </c>
      <c r="E9" s="4" t="s">
        <v>216</v>
      </c>
      <c r="F9" s="4" t="s">
        <v>12</v>
      </c>
      <c r="G9" s="17" t="s">
        <v>293</v>
      </c>
      <c r="H9" s="4" t="s">
        <v>213</v>
      </c>
      <c r="I9" s="4" t="s">
        <v>137</v>
      </c>
    </row>
    <row r="10" spans="1:9" x14ac:dyDescent="0.25">
      <c r="A10" s="4">
        <v>6</v>
      </c>
      <c r="B10" s="4">
        <v>1</v>
      </c>
      <c r="C10" s="4" t="s">
        <v>21</v>
      </c>
      <c r="D10" s="4" t="s">
        <v>22</v>
      </c>
      <c r="E10" s="4" t="s">
        <v>289</v>
      </c>
      <c r="F10" s="4" t="s">
        <v>23</v>
      </c>
      <c r="G10" s="17" t="s">
        <v>288</v>
      </c>
      <c r="H10" s="4" t="s">
        <v>213</v>
      </c>
      <c r="I10" s="4" t="s">
        <v>137</v>
      </c>
    </row>
    <row r="11" spans="1:9" x14ac:dyDescent="0.25">
      <c r="A11" s="4">
        <v>7</v>
      </c>
      <c r="B11" s="4">
        <v>7</v>
      </c>
      <c r="C11" s="4" t="s">
        <v>24</v>
      </c>
      <c r="D11" s="4" t="s">
        <v>25</v>
      </c>
      <c r="E11" s="4" t="s">
        <v>216</v>
      </c>
      <c r="F11" s="4" t="s">
        <v>12</v>
      </c>
      <c r="G11" s="17" t="s">
        <v>294</v>
      </c>
      <c r="H11" s="4" t="s">
        <v>295</v>
      </c>
      <c r="I11" s="4" t="s">
        <v>137</v>
      </c>
    </row>
    <row r="12" spans="1:9" x14ac:dyDescent="0.25">
      <c r="A12" s="4">
        <v>8</v>
      </c>
      <c r="B12" s="4">
        <v>1</v>
      </c>
      <c r="C12" s="4" t="s">
        <v>26</v>
      </c>
      <c r="D12" s="4" t="s">
        <v>27</v>
      </c>
      <c r="E12" s="4" t="s">
        <v>287</v>
      </c>
      <c r="F12" s="4" t="s">
        <v>18</v>
      </c>
      <c r="G12" s="17" t="s">
        <v>296</v>
      </c>
      <c r="H12" s="4" t="s">
        <v>292</v>
      </c>
      <c r="I12" s="4" t="s">
        <v>176</v>
      </c>
    </row>
    <row r="13" spans="1:9" x14ac:dyDescent="0.25">
      <c r="A13" s="4">
        <v>9</v>
      </c>
      <c r="B13" s="4">
        <v>4</v>
      </c>
      <c r="C13" s="4" t="s">
        <v>28</v>
      </c>
      <c r="D13" s="4" t="s">
        <v>29</v>
      </c>
      <c r="E13" s="4" t="s">
        <v>217</v>
      </c>
      <c r="F13" s="4" t="s">
        <v>30</v>
      </c>
      <c r="G13" s="4" t="s">
        <v>297</v>
      </c>
      <c r="H13" s="4" t="s">
        <v>298</v>
      </c>
      <c r="I13" s="4" t="s">
        <v>177</v>
      </c>
    </row>
    <row r="14" spans="1:9" x14ac:dyDescent="0.25">
      <c r="A14" s="4">
        <v>10</v>
      </c>
      <c r="B14" s="4">
        <v>1</v>
      </c>
      <c r="C14" s="4" t="s">
        <v>31</v>
      </c>
      <c r="D14" s="4" t="s">
        <v>32</v>
      </c>
      <c r="E14" s="4" t="s">
        <v>218</v>
      </c>
      <c r="F14" s="4" t="s">
        <v>33</v>
      </c>
      <c r="G14" s="4" t="s">
        <v>240</v>
      </c>
      <c r="H14" s="4" t="s">
        <v>241</v>
      </c>
      <c r="I14" s="4" t="s">
        <v>144</v>
      </c>
    </row>
    <row r="15" spans="1:9" x14ac:dyDescent="0.25">
      <c r="A15" s="4">
        <v>11</v>
      </c>
      <c r="B15" s="4">
        <v>2</v>
      </c>
      <c r="C15" s="4" t="s">
        <v>34</v>
      </c>
      <c r="D15" s="4" t="s">
        <v>35</v>
      </c>
      <c r="E15" s="4" t="s">
        <v>260</v>
      </c>
      <c r="F15" s="4" t="s">
        <v>37</v>
      </c>
      <c r="G15" s="4" t="s">
        <v>35</v>
      </c>
      <c r="H15" s="4" t="s">
        <v>239</v>
      </c>
      <c r="I15" s="4" t="s">
        <v>178</v>
      </c>
    </row>
    <row r="16" spans="1:9" x14ac:dyDescent="0.25">
      <c r="A16" s="4">
        <v>12</v>
      </c>
      <c r="B16" s="4">
        <v>3</v>
      </c>
      <c r="C16" s="4" t="s">
        <v>38</v>
      </c>
      <c r="D16" s="4" t="s">
        <v>39</v>
      </c>
      <c r="E16" s="4" t="s">
        <v>261</v>
      </c>
      <c r="F16" s="4" t="s">
        <v>37</v>
      </c>
      <c r="G16" s="4" t="s">
        <v>39</v>
      </c>
      <c r="H16" s="4" t="s">
        <v>315</v>
      </c>
      <c r="I16" s="4" t="s">
        <v>179</v>
      </c>
    </row>
    <row r="17" spans="1:9" x14ac:dyDescent="0.25">
      <c r="A17" s="4">
        <v>13</v>
      </c>
      <c r="B17" s="4">
        <v>1</v>
      </c>
      <c r="C17" s="4" t="s">
        <v>41</v>
      </c>
      <c r="D17" s="4" t="s">
        <v>42</v>
      </c>
      <c r="E17" s="4" t="s">
        <v>262</v>
      </c>
      <c r="F17" s="4" t="s">
        <v>43</v>
      </c>
      <c r="G17" s="4" t="s">
        <v>300</v>
      </c>
      <c r="H17" s="4" t="s">
        <v>299</v>
      </c>
      <c r="I17" s="4" t="s">
        <v>151</v>
      </c>
    </row>
    <row r="18" spans="1:9" x14ac:dyDescent="0.25">
      <c r="A18" s="4">
        <v>14</v>
      </c>
      <c r="B18" s="4">
        <v>1</v>
      </c>
      <c r="C18" s="4" t="s">
        <v>44</v>
      </c>
      <c r="D18" s="4" t="s">
        <v>45</v>
      </c>
      <c r="E18" s="4" t="s">
        <v>263</v>
      </c>
      <c r="F18" s="4" t="s">
        <v>46</v>
      </c>
      <c r="G18" s="17" t="s">
        <v>317</v>
      </c>
      <c r="H18" s="4" t="s">
        <v>318</v>
      </c>
      <c r="I18" s="4" t="s">
        <v>180</v>
      </c>
    </row>
    <row r="19" spans="1:9" x14ac:dyDescent="0.25">
      <c r="A19" s="4">
        <v>15</v>
      </c>
      <c r="B19" s="4">
        <v>1</v>
      </c>
      <c r="C19" s="4" t="s">
        <v>47</v>
      </c>
      <c r="D19" s="4" t="s">
        <v>48</v>
      </c>
      <c r="E19" s="4" t="s">
        <v>264</v>
      </c>
      <c r="F19" s="4" t="s">
        <v>49</v>
      </c>
      <c r="G19" s="17" t="s">
        <v>305</v>
      </c>
      <c r="H19" s="4" t="s">
        <v>306</v>
      </c>
      <c r="I19" s="4" t="s">
        <v>147</v>
      </c>
    </row>
    <row r="20" spans="1:9" x14ac:dyDescent="0.25">
      <c r="A20" s="4">
        <v>16</v>
      </c>
      <c r="B20" s="4">
        <v>1</v>
      </c>
      <c r="C20" s="4" t="s">
        <v>50</v>
      </c>
      <c r="D20" s="4" t="s">
        <v>51</v>
      </c>
      <c r="E20" s="4" t="s">
        <v>262</v>
      </c>
      <c r="F20" s="4" t="s">
        <v>52</v>
      </c>
      <c r="G20" s="4" t="s">
        <v>301</v>
      </c>
      <c r="H20" s="4" t="s">
        <v>299</v>
      </c>
      <c r="I20" s="4" t="s">
        <v>181</v>
      </c>
    </row>
    <row r="21" spans="1:9" x14ac:dyDescent="0.25">
      <c r="A21" s="4">
        <v>17</v>
      </c>
      <c r="B21" s="4">
        <v>1</v>
      </c>
      <c r="C21" s="4" t="s">
        <v>53</v>
      </c>
      <c r="D21" s="4" t="s">
        <v>54</v>
      </c>
      <c r="E21" s="4" t="s">
        <v>262</v>
      </c>
      <c r="F21" s="4" t="s">
        <v>55</v>
      </c>
      <c r="G21" s="4" t="s">
        <v>302</v>
      </c>
      <c r="H21" s="4" t="s">
        <v>299</v>
      </c>
      <c r="I21" s="4" t="s">
        <v>182</v>
      </c>
    </row>
    <row r="22" spans="1:9" x14ac:dyDescent="0.25">
      <c r="A22" s="4">
        <v>18</v>
      </c>
      <c r="B22" s="4">
        <v>1</v>
      </c>
      <c r="C22" s="4" t="s">
        <v>56</v>
      </c>
      <c r="D22" s="4" t="s">
        <v>57</v>
      </c>
      <c r="E22" s="4" t="s">
        <v>119</v>
      </c>
      <c r="F22" s="4" t="s">
        <v>58</v>
      </c>
      <c r="G22" s="4" t="s">
        <v>307</v>
      </c>
      <c r="H22" s="4" t="s">
        <v>308</v>
      </c>
      <c r="I22" s="4" t="s">
        <v>183</v>
      </c>
    </row>
    <row r="23" spans="1:9" x14ac:dyDescent="0.25">
      <c r="A23" s="4">
        <v>19</v>
      </c>
      <c r="B23" s="4">
        <v>1</v>
      </c>
      <c r="C23" s="4" t="s">
        <v>59</v>
      </c>
      <c r="D23" s="4" t="s">
        <v>60</v>
      </c>
      <c r="E23" s="4" t="s">
        <v>119</v>
      </c>
      <c r="F23" s="4" t="s">
        <v>58</v>
      </c>
      <c r="G23" s="4">
        <v>744877101</v>
      </c>
      <c r="H23" s="4" t="s">
        <v>309</v>
      </c>
      <c r="I23" s="4" t="s">
        <v>183</v>
      </c>
    </row>
    <row r="24" spans="1:9" x14ac:dyDescent="0.25">
      <c r="A24" s="4">
        <v>20</v>
      </c>
      <c r="B24" s="4">
        <v>2</v>
      </c>
      <c r="C24" s="4" t="s">
        <v>61</v>
      </c>
      <c r="D24" s="4" t="s">
        <v>62</v>
      </c>
      <c r="E24" s="4" t="s">
        <v>214</v>
      </c>
      <c r="F24" s="4" t="s">
        <v>63</v>
      </c>
      <c r="G24" s="17" t="s">
        <v>310</v>
      </c>
      <c r="H24" s="4" t="s">
        <v>292</v>
      </c>
      <c r="I24" s="4" t="s">
        <v>162</v>
      </c>
    </row>
    <row r="25" spans="1:9" x14ac:dyDescent="0.25">
      <c r="A25" s="4">
        <v>22</v>
      </c>
      <c r="B25" s="4">
        <v>2</v>
      </c>
      <c r="C25" s="4" t="s">
        <v>66</v>
      </c>
      <c r="D25" s="4" t="s">
        <v>67</v>
      </c>
      <c r="E25" s="4" t="s">
        <v>214</v>
      </c>
      <c r="F25" s="4" t="s">
        <v>63</v>
      </c>
      <c r="G25" s="17" t="s">
        <v>311</v>
      </c>
      <c r="H25" s="4" t="s">
        <v>312</v>
      </c>
      <c r="I25" s="4" t="s">
        <v>162</v>
      </c>
    </row>
    <row r="26" spans="1:9" x14ac:dyDescent="0.25">
      <c r="A26" s="4">
        <v>23</v>
      </c>
      <c r="B26" s="4">
        <v>1</v>
      </c>
      <c r="C26" s="4" t="s">
        <v>68</v>
      </c>
      <c r="D26" s="4" t="s">
        <v>69</v>
      </c>
      <c r="E26" s="4" t="s">
        <v>214</v>
      </c>
      <c r="F26" s="4" t="s">
        <v>63</v>
      </c>
      <c r="G26" s="17" t="s">
        <v>313</v>
      </c>
      <c r="H26" s="4" t="s">
        <v>231</v>
      </c>
      <c r="I26" s="4" t="s">
        <v>162</v>
      </c>
    </row>
    <row r="27" spans="1:9" x14ac:dyDescent="0.25">
      <c r="A27" s="4">
        <v>24</v>
      </c>
      <c r="B27" s="4">
        <v>2</v>
      </c>
      <c r="C27" s="4" t="s">
        <v>70</v>
      </c>
      <c r="D27" s="4" t="s">
        <v>71</v>
      </c>
      <c r="E27" s="4" t="s">
        <v>214</v>
      </c>
      <c r="F27" s="4" t="s">
        <v>63</v>
      </c>
      <c r="G27" s="4" t="s">
        <v>314</v>
      </c>
      <c r="H27" s="4" t="s">
        <v>315</v>
      </c>
      <c r="I27" s="4" t="s">
        <v>162</v>
      </c>
    </row>
    <row r="28" spans="1:9" x14ac:dyDescent="0.25">
      <c r="A28" s="4">
        <v>25</v>
      </c>
      <c r="B28" s="4">
        <v>8</v>
      </c>
      <c r="C28" s="4" t="s">
        <v>72</v>
      </c>
      <c r="D28" s="4" t="s">
        <v>73</v>
      </c>
      <c r="E28" s="4" t="s">
        <v>214</v>
      </c>
      <c r="F28" s="4" t="s">
        <v>63</v>
      </c>
      <c r="G28" s="4" t="s">
        <v>233</v>
      </c>
      <c r="H28" s="4" t="s">
        <v>231</v>
      </c>
      <c r="I28" s="4" t="s">
        <v>162</v>
      </c>
    </row>
    <row r="29" spans="1:9" x14ac:dyDescent="0.25">
      <c r="A29" s="4">
        <v>26</v>
      </c>
      <c r="B29" s="4">
        <v>2</v>
      </c>
      <c r="C29" s="4" t="s">
        <v>74</v>
      </c>
      <c r="D29" s="4" t="s">
        <v>75</v>
      </c>
      <c r="E29" s="4" t="s">
        <v>214</v>
      </c>
      <c r="F29" s="4" t="s">
        <v>63</v>
      </c>
      <c r="G29" s="17" t="s">
        <v>316</v>
      </c>
      <c r="H29" s="4" t="s">
        <v>292</v>
      </c>
      <c r="I29" s="4" t="s">
        <v>162</v>
      </c>
    </row>
    <row r="30" spans="1:9" x14ac:dyDescent="0.25">
      <c r="A30" s="4">
        <v>27</v>
      </c>
      <c r="B30" s="4">
        <v>7</v>
      </c>
      <c r="C30" s="4" t="s">
        <v>282</v>
      </c>
      <c r="D30" s="4" t="s">
        <v>77</v>
      </c>
      <c r="E30" s="4" t="s">
        <v>214</v>
      </c>
      <c r="F30" s="4" t="s">
        <v>63</v>
      </c>
      <c r="G30" s="4" t="s">
        <v>232</v>
      </c>
      <c r="H30" s="4" t="s">
        <v>231</v>
      </c>
      <c r="I30" s="4" t="s">
        <v>162</v>
      </c>
    </row>
    <row r="31" spans="1:9" x14ac:dyDescent="0.25">
      <c r="A31" s="4">
        <v>28</v>
      </c>
      <c r="B31" s="4">
        <v>1</v>
      </c>
      <c r="C31" s="4" t="s">
        <v>78</v>
      </c>
      <c r="D31" s="4" t="s">
        <v>79</v>
      </c>
      <c r="E31" s="4" t="s">
        <v>254</v>
      </c>
      <c r="F31" s="4" t="s">
        <v>80</v>
      </c>
      <c r="G31" s="18" t="s">
        <v>280</v>
      </c>
      <c r="H31" s="4" t="s">
        <v>281</v>
      </c>
      <c r="I31" s="4" t="s">
        <v>184</v>
      </c>
    </row>
    <row r="32" spans="1:9" x14ac:dyDescent="0.25">
      <c r="A32" s="4">
        <v>29</v>
      </c>
      <c r="B32" s="4">
        <v>1</v>
      </c>
      <c r="C32" s="4" t="s">
        <v>81</v>
      </c>
      <c r="D32" s="4" t="s">
        <v>82</v>
      </c>
      <c r="E32" s="4" t="s">
        <v>259</v>
      </c>
      <c r="F32" s="4" t="s">
        <v>84</v>
      </c>
      <c r="G32" s="4" t="s">
        <v>279</v>
      </c>
      <c r="H32" s="4" t="s">
        <v>278</v>
      </c>
      <c r="I32" s="4" t="s">
        <v>185</v>
      </c>
    </row>
    <row r="33" spans="1:9" x14ac:dyDescent="0.25">
      <c r="A33" s="4">
        <v>30</v>
      </c>
      <c r="B33" s="4">
        <v>1</v>
      </c>
      <c r="C33" s="4" t="s">
        <v>85</v>
      </c>
      <c r="D33" s="4" t="s">
        <v>86</v>
      </c>
      <c r="E33" s="4" t="s">
        <v>256</v>
      </c>
      <c r="F33" s="4" t="s">
        <v>88</v>
      </c>
      <c r="G33" s="17" t="s">
        <v>276</v>
      </c>
      <c r="H33" s="4" t="s">
        <v>277</v>
      </c>
      <c r="I33" s="4" t="s">
        <v>186</v>
      </c>
    </row>
    <row r="34" spans="1:9" x14ac:dyDescent="0.25">
      <c r="A34" s="4">
        <v>31</v>
      </c>
      <c r="B34" s="4">
        <v>1</v>
      </c>
      <c r="C34" s="4" t="s">
        <v>89</v>
      </c>
      <c r="D34" s="4" t="s">
        <v>90</v>
      </c>
      <c r="E34" s="4" t="s">
        <v>257</v>
      </c>
      <c r="F34" s="4" t="s">
        <v>91</v>
      </c>
      <c r="G34" s="4" t="s">
        <v>267</v>
      </c>
      <c r="H34" s="4" t="s">
        <v>268</v>
      </c>
      <c r="I34" s="4"/>
    </row>
    <row r="35" spans="1:9" x14ac:dyDescent="0.25">
      <c r="A35" s="4">
        <v>32</v>
      </c>
      <c r="B35" s="4">
        <v>1</v>
      </c>
      <c r="C35" s="4" t="s">
        <v>92</v>
      </c>
      <c r="D35" s="4" t="s">
        <v>93</v>
      </c>
      <c r="E35" s="4" t="s">
        <v>123</v>
      </c>
      <c r="F35" s="4" t="s">
        <v>95</v>
      </c>
      <c r="G35" s="17" t="s">
        <v>270</v>
      </c>
      <c r="H35" s="10" t="s">
        <v>271</v>
      </c>
      <c r="I35" s="4" t="s">
        <v>187</v>
      </c>
    </row>
    <row r="36" spans="1:9" x14ac:dyDescent="0.25">
      <c r="A36" s="4">
        <v>33</v>
      </c>
      <c r="B36" s="4">
        <v>1</v>
      </c>
      <c r="C36" s="4" t="s">
        <v>96</v>
      </c>
      <c r="D36" s="4" t="s">
        <v>97</v>
      </c>
      <c r="E36" s="4" t="s">
        <v>223</v>
      </c>
      <c r="F36" s="4" t="s">
        <v>99</v>
      </c>
      <c r="G36" s="4" t="s">
        <v>227</v>
      </c>
      <c r="H36" s="4" t="s">
        <v>228</v>
      </c>
      <c r="I36" s="4" t="s">
        <v>170</v>
      </c>
    </row>
    <row r="37" spans="1:9" x14ac:dyDescent="0.25">
      <c r="A37" s="4">
        <v>34</v>
      </c>
      <c r="B37" s="4">
        <v>1</v>
      </c>
      <c r="C37" s="4" t="s">
        <v>100</v>
      </c>
      <c r="D37" s="4" t="s">
        <v>101</v>
      </c>
      <c r="E37" s="4" t="s">
        <v>123</v>
      </c>
      <c r="F37" s="4" t="s">
        <v>103</v>
      </c>
      <c r="G37" s="4" t="s">
        <v>269</v>
      </c>
      <c r="H37" s="4" t="s">
        <v>228</v>
      </c>
      <c r="I37" s="4" t="s">
        <v>188</v>
      </c>
    </row>
    <row r="38" spans="1:9" x14ac:dyDescent="0.25">
      <c r="A38" s="4">
        <v>35</v>
      </c>
      <c r="B38" s="4">
        <v>1</v>
      </c>
      <c r="C38" s="4" t="s">
        <v>104</v>
      </c>
      <c r="D38" s="4" t="s">
        <v>105</v>
      </c>
      <c r="E38" s="4" t="s">
        <v>123</v>
      </c>
      <c r="F38" s="4" t="s">
        <v>106</v>
      </c>
      <c r="G38" s="17" t="s">
        <v>105</v>
      </c>
      <c r="H38" s="4" t="s">
        <v>272</v>
      </c>
      <c r="I38" s="4"/>
    </row>
    <row r="39" spans="1:9" x14ac:dyDescent="0.25">
      <c r="A39" s="4">
        <v>36</v>
      </c>
      <c r="B39" s="4">
        <v>1</v>
      </c>
      <c r="C39" s="4" t="s">
        <v>107</v>
      </c>
      <c r="D39" s="4" t="s">
        <v>108</v>
      </c>
      <c r="E39" s="4" t="s">
        <v>255</v>
      </c>
      <c r="F39" s="4" t="s">
        <v>110</v>
      </c>
      <c r="G39" s="17" t="s">
        <v>273</v>
      </c>
      <c r="H39" s="10" t="s">
        <v>271</v>
      </c>
      <c r="I39" s="4" t="s">
        <v>189</v>
      </c>
    </row>
    <row r="40" spans="1:9" x14ac:dyDescent="0.25">
      <c r="A40" s="4">
        <v>37</v>
      </c>
      <c r="B40" s="4">
        <v>1</v>
      </c>
      <c r="C40" s="4" t="s">
        <v>111</v>
      </c>
      <c r="D40" s="4" t="s">
        <v>112</v>
      </c>
      <c r="E40" s="4" t="s">
        <v>258</v>
      </c>
      <c r="F40" s="4" t="s">
        <v>114</v>
      </c>
      <c r="G40" s="17" t="s">
        <v>274</v>
      </c>
      <c r="H40" s="4" t="s">
        <v>275</v>
      </c>
      <c r="I40" s="4" t="s">
        <v>190</v>
      </c>
    </row>
  </sheetData>
  <mergeCells count="1">
    <mergeCell ref="B1:I2"/>
  </mergeCells>
  <hyperlinks>
    <hyperlink ref="H34" r:id="rId1" display="https://www.mouser.in/manufacturer/stmicroelectronics/"/>
    <hyperlink ref="H37" r:id="rId2" display="https://www.mouser.in/manufacturer/texas-instruments/"/>
    <hyperlink ref="H38" r:id="rId3" display="https://www.mouser.in/manufacturer/vishaysemiconductors/"/>
    <hyperlink ref="H40" r:id="rId4" display="https://www.mouser.in/manufacturer/traco-power/"/>
    <hyperlink ref="H33" r:id="rId5" display="https://www.mouser.in/manufacturer/onsemi/"/>
    <hyperlink ref="H31" r:id="rId6" display="https://in.element14.com/c/circuit-protection/tvs-transient-voltage-suppressors/tvs-varistors/prl/results?brand=bourns"/>
    <hyperlink ref="G6" r:id="rId7" display="https://www.mouser.in/ProductDetail/KYOCERA-AVX/0402X7R104KT7AT?qs=DPoM0jnrROXD467pFR2ukA%3D%3D"/>
    <hyperlink ref="H6" r:id="rId8" display="https://www.mouser.in/manufacturer/kyocera-avx/"/>
    <hyperlink ref="H13" r:id="rId9" display="https://www.mouser.in/manufacturer/microchip/"/>
    <hyperlink ref="H19" r:id="rId10" display="https://www.mouser.in/manufacturer/chipquik/"/>
    <hyperlink ref="H23" r:id="rId11" display="https://www.mouser.in/manufacturer/wurth-elektronik/"/>
    <hyperlink ref="H18" r:id="rId12" display="https://www.mouser.in/manufacturer/amphenolcommercial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E1" workbookViewId="0">
      <selection activeCell="I26" sqref="I26"/>
    </sheetView>
  </sheetViews>
  <sheetFormatPr defaultRowHeight="15" x14ac:dyDescent="0.25"/>
  <cols>
    <col min="2" max="2" width="8.7109375" bestFit="1" customWidth="1"/>
    <col min="3" max="3" width="11.28515625" bestFit="1" customWidth="1"/>
    <col min="4" max="4" width="33.140625" bestFit="1" customWidth="1"/>
    <col min="5" max="5" width="15.85546875" bestFit="1" customWidth="1"/>
    <col min="6" max="6" width="62" bestFit="1" customWidth="1"/>
    <col min="7" max="7" width="25.28515625" bestFit="1" customWidth="1"/>
    <col min="8" max="8" width="18" bestFit="1" customWidth="1"/>
    <col min="9" max="9" width="113.7109375" bestFit="1" customWidth="1"/>
  </cols>
  <sheetData>
    <row r="1" spans="1:9" ht="15" customHeight="1" x14ac:dyDescent="0.25">
      <c r="B1" s="12" t="s">
        <v>319</v>
      </c>
      <c r="C1" s="13"/>
      <c r="D1" s="13"/>
      <c r="E1" s="13"/>
      <c r="F1" s="13"/>
      <c r="G1" s="13"/>
      <c r="H1" s="13"/>
      <c r="I1" s="13"/>
    </row>
    <row r="2" spans="1:9" ht="15" customHeight="1" x14ac:dyDescent="0.25">
      <c r="B2" s="14"/>
      <c r="C2" s="15"/>
      <c r="D2" s="15"/>
      <c r="E2" s="15"/>
      <c r="F2" s="15"/>
      <c r="G2" s="15"/>
      <c r="H2" s="15"/>
      <c r="I2" s="15"/>
    </row>
    <row r="3" spans="1:9" ht="15.75" thickBot="1" x14ac:dyDescent="0.3"/>
    <row r="4" spans="1:9" ht="15.75" thickTop="1" x14ac:dyDescent="0.25">
      <c r="A4" s="9" t="s">
        <v>115</v>
      </c>
      <c r="B4" s="9" t="s">
        <v>116</v>
      </c>
      <c r="C4" s="9" t="s">
        <v>1</v>
      </c>
      <c r="D4" s="9" t="s">
        <v>2</v>
      </c>
      <c r="E4" s="9" t="s">
        <v>209</v>
      </c>
      <c r="F4" s="9" t="s">
        <v>210</v>
      </c>
      <c r="G4" s="9" t="s">
        <v>211</v>
      </c>
      <c r="H4" s="9" t="s">
        <v>212</v>
      </c>
      <c r="I4" s="9" t="s">
        <v>131</v>
      </c>
    </row>
    <row r="5" spans="1:9" x14ac:dyDescent="0.25">
      <c r="A5" s="4">
        <v>1</v>
      </c>
      <c r="B5" s="4">
        <v>1</v>
      </c>
      <c r="C5" s="4" t="s">
        <v>132</v>
      </c>
      <c r="D5" s="4" t="s">
        <v>8</v>
      </c>
      <c r="E5" s="4" t="s">
        <v>219</v>
      </c>
      <c r="F5" s="4" t="s">
        <v>133</v>
      </c>
      <c r="G5" s="4" t="s">
        <v>265</v>
      </c>
      <c r="H5" s="4" t="s">
        <v>266</v>
      </c>
      <c r="I5" s="4" t="s">
        <v>134</v>
      </c>
    </row>
    <row r="6" spans="1:9" x14ac:dyDescent="0.25">
      <c r="A6" s="4">
        <v>2</v>
      </c>
      <c r="B6" s="4">
        <v>2</v>
      </c>
      <c r="C6" s="4" t="s">
        <v>135</v>
      </c>
      <c r="D6" s="4" t="s">
        <v>244</v>
      </c>
      <c r="E6" s="4" t="s">
        <v>216</v>
      </c>
      <c r="F6" s="4" t="s">
        <v>12</v>
      </c>
      <c r="G6" s="4" t="s">
        <v>242</v>
      </c>
      <c r="H6" s="4" t="s">
        <v>243</v>
      </c>
      <c r="I6" s="4" t="s">
        <v>137</v>
      </c>
    </row>
    <row r="7" spans="1:9" x14ac:dyDescent="0.25">
      <c r="A7" s="4">
        <v>3</v>
      </c>
      <c r="B7" s="4">
        <v>5</v>
      </c>
      <c r="C7" s="4" t="s">
        <v>290</v>
      </c>
      <c r="D7" s="4" t="s">
        <v>252</v>
      </c>
      <c r="E7" s="4" t="s">
        <v>216</v>
      </c>
      <c r="F7" s="4" t="s">
        <v>12</v>
      </c>
      <c r="G7" s="4" t="s">
        <v>251</v>
      </c>
      <c r="H7" s="4" t="s">
        <v>253</v>
      </c>
      <c r="I7" s="4" t="s">
        <v>137</v>
      </c>
    </row>
    <row r="8" spans="1:9" x14ac:dyDescent="0.25">
      <c r="A8" s="4">
        <v>5</v>
      </c>
      <c r="B8" s="4">
        <v>1</v>
      </c>
      <c r="C8" s="4" t="s">
        <v>141</v>
      </c>
      <c r="D8" s="4" t="s">
        <v>250</v>
      </c>
      <c r="E8" s="4" t="s">
        <v>216</v>
      </c>
      <c r="F8" s="4" t="s">
        <v>12</v>
      </c>
      <c r="G8" s="4" t="s">
        <v>249</v>
      </c>
      <c r="H8" s="4" t="s">
        <v>243</v>
      </c>
      <c r="I8" s="4" t="s">
        <v>137</v>
      </c>
    </row>
    <row r="9" spans="1:9" x14ac:dyDescent="0.25">
      <c r="A9" s="4">
        <v>6</v>
      </c>
      <c r="B9" s="4">
        <v>1</v>
      </c>
      <c r="C9" s="4" t="s">
        <v>143</v>
      </c>
      <c r="D9" s="4" t="s">
        <v>32</v>
      </c>
      <c r="E9" s="4" t="s">
        <v>218</v>
      </c>
      <c r="F9" s="4" t="s">
        <v>33</v>
      </c>
      <c r="G9" s="4" t="s">
        <v>240</v>
      </c>
      <c r="H9" s="4" t="s">
        <v>241</v>
      </c>
      <c r="I9" s="4" t="s">
        <v>144</v>
      </c>
    </row>
    <row r="10" spans="1:9" x14ac:dyDescent="0.25">
      <c r="A10" s="4">
        <v>7</v>
      </c>
      <c r="B10" s="4">
        <v>1</v>
      </c>
      <c r="C10" s="4" t="s">
        <v>41</v>
      </c>
      <c r="D10" s="4" t="s">
        <v>145</v>
      </c>
      <c r="E10" s="4" t="s">
        <v>220</v>
      </c>
      <c r="F10" s="4" t="s">
        <v>146</v>
      </c>
      <c r="G10" s="4" t="s">
        <v>303</v>
      </c>
      <c r="H10" s="4" t="s">
        <v>304</v>
      </c>
      <c r="I10" s="4" t="s">
        <v>147</v>
      </c>
    </row>
    <row r="11" spans="1:9" x14ac:dyDescent="0.25">
      <c r="A11" s="4">
        <v>8</v>
      </c>
      <c r="B11" s="4">
        <v>3</v>
      </c>
      <c r="C11" s="4" t="s">
        <v>148</v>
      </c>
      <c r="D11" s="4" t="s">
        <v>149</v>
      </c>
      <c r="E11" s="4" t="s">
        <v>221</v>
      </c>
      <c r="F11" s="4" t="s">
        <v>150</v>
      </c>
      <c r="G11" s="4" t="s">
        <v>230</v>
      </c>
      <c r="H11" s="4" t="s">
        <v>229</v>
      </c>
      <c r="I11" s="4" t="s">
        <v>151</v>
      </c>
    </row>
    <row r="12" spans="1:9" x14ac:dyDescent="0.25">
      <c r="A12" s="4">
        <v>9</v>
      </c>
      <c r="B12" s="4">
        <v>1</v>
      </c>
      <c r="C12" s="4" t="s">
        <v>53</v>
      </c>
      <c r="D12" s="4" t="s">
        <v>152</v>
      </c>
      <c r="E12" s="4" t="s">
        <v>222</v>
      </c>
      <c r="F12" s="4" t="s">
        <v>154</v>
      </c>
      <c r="G12" s="4" t="s">
        <v>237</v>
      </c>
      <c r="H12" s="4" t="s">
        <v>236</v>
      </c>
      <c r="I12" s="4" t="s">
        <v>155</v>
      </c>
    </row>
    <row r="13" spans="1:9" x14ac:dyDescent="0.25">
      <c r="A13" s="4">
        <v>10</v>
      </c>
      <c r="B13" s="4">
        <v>2</v>
      </c>
      <c r="C13" s="4" t="s">
        <v>156</v>
      </c>
      <c r="D13" s="4" t="s">
        <v>157</v>
      </c>
      <c r="E13" s="4" t="s">
        <v>192</v>
      </c>
      <c r="F13" s="4" t="s">
        <v>159</v>
      </c>
      <c r="G13" s="4" t="s">
        <v>238</v>
      </c>
      <c r="H13" s="4" t="s">
        <v>239</v>
      </c>
      <c r="I13" s="4" t="s">
        <v>160</v>
      </c>
    </row>
    <row r="14" spans="1:9" x14ac:dyDescent="0.25">
      <c r="A14" s="4">
        <v>11</v>
      </c>
      <c r="B14" s="4">
        <v>1</v>
      </c>
      <c r="C14" s="4" t="s">
        <v>161</v>
      </c>
      <c r="D14" s="4" t="s">
        <v>248</v>
      </c>
      <c r="E14" s="4" t="s">
        <v>214</v>
      </c>
      <c r="F14" s="4" t="s">
        <v>63</v>
      </c>
      <c r="G14" s="4" t="s">
        <v>232</v>
      </c>
      <c r="H14" s="4" t="s">
        <v>231</v>
      </c>
      <c r="I14" s="4" t="s">
        <v>162</v>
      </c>
    </row>
    <row r="15" spans="1:9" x14ac:dyDescent="0.25">
      <c r="A15" s="4">
        <v>12</v>
      </c>
      <c r="B15" s="4">
        <v>4</v>
      </c>
      <c r="C15" s="4" t="s">
        <v>163</v>
      </c>
      <c r="D15" s="4" t="s">
        <v>245</v>
      </c>
      <c r="E15" s="4" t="s">
        <v>214</v>
      </c>
      <c r="F15" s="4" t="s">
        <v>63</v>
      </c>
      <c r="G15" s="4" t="s">
        <v>233</v>
      </c>
      <c r="H15" s="4" t="s">
        <v>231</v>
      </c>
      <c r="I15" s="4" t="s">
        <v>162</v>
      </c>
    </row>
    <row r="16" spans="1:9" x14ac:dyDescent="0.25">
      <c r="A16" s="4">
        <v>13</v>
      </c>
      <c r="B16" s="4">
        <v>2</v>
      </c>
      <c r="C16" s="4" t="s">
        <v>164</v>
      </c>
      <c r="D16" s="4" t="s">
        <v>246</v>
      </c>
      <c r="E16" s="4" t="s">
        <v>214</v>
      </c>
      <c r="F16" s="4" t="s">
        <v>63</v>
      </c>
      <c r="G16" s="4" t="s">
        <v>234</v>
      </c>
      <c r="H16" s="4" t="s">
        <v>231</v>
      </c>
      <c r="I16" s="4" t="s">
        <v>162</v>
      </c>
    </row>
    <row r="17" spans="1:9" x14ac:dyDescent="0.25">
      <c r="A17" s="4">
        <v>14</v>
      </c>
      <c r="B17" s="4">
        <v>1</v>
      </c>
      <c r="C17" s="4" t="s">
        <v>166</v>
      </c>
      <c r="D17" s="4" t="s">
        <v>247</v>
      </c>
      <c r="E17" s="4" t="s">
        <v>214</v>
      </c>
      <c r="F17" s="4" t="s">
        <v>63</v>
      </c>
      <c r="G17" s="4" t="s">
        <v>235</v>
      </c>
      <c r="H17" s="4" t="s">
        <v>231</v>
      </c>
      <c r="I17" s="4" t="s">
        <v>162</v>
      </c>
    </row>
    <row r="18" spans="1:9" x14ac:dyDescent="0.25">
      <c r="A18" s="4">
        <v>15</v>
      </c>
      <c r="B18" s="4">
        <v>1</v>
      </c>
      <c r="C18" s="4" t="s">
        <v>168</v>
      </c>
      <c r="D18" s="4" t="s">
        <v>248</v>
      </c>
      <c r="E18" s="4" t="s">
        <v>214</v>
      </c>
      <c r="F18" s="4" t="s">
        <v>63</v>
      </c>
      <c r="G18" s="4" t="s">
        <v>232</v>
      </c>
      <c r="H18" s="4" t="s">
        <v>231</v>
      </c>
      <c r="I18" s="4" t="s">
        <v>162</v>
      </c>
    </row>
    <row r="19" spans="1:9" x14ac:dyDescent="0.25">
      <c r="A19" s="4">
        <v>16</v>
      </c>
      <c r="B19" s="10">
        <v>1</v>
      </c>
      <c r="C19" s="4" t="s">
        <v>169</v>
      </c>
      <c r="D19" s="4" t="s">
        <v>8</v>
      </c>
      <c r="E19" s="4" t="s">
        <v>221</v>
      </c>
      <c r="F19" s="4" t="s">
        <v>150</v>
      </c>
      <c r="G19" s="4" t="s">
        <v>230</v>
      </c>
      <c r="H19" s="4" t="s">
        <v>229</v>
      </c>
      <c r="I19" s="4" t="s">
        <v>134</v>
      </c>
    </row>
    <row r="20" spans="1:9" x14ac:dyDescent="0.25">
      <c r="A20" s="4">
        <v>17</v>
      </c>
      <c r="B20" s="10">
        <v>1</v>
      </c>
      <c r="C20" s="4" t="s">
        <v>81</v>
      </c>
      <c r="D20" s="4" t="s">
        <v>97</v>
      </c>
      <c r="E20" s="4" t="s">
        <v>223</v>
      </c>
      <c r="F20" s="4" t="s">
        <v>99</v>
      </c>
      <c r="G20" s="4" t="s">
        <v>227</v>
      </c>
      <c r="H20" s="4" t="s">
        <v>228</v>
      </c>
      <c r="I20" s="4" t="s">
        <v>170</v>
      </c>
    </row>
    <row r="21" spans="1:9" x14ac:dyDescent="0.25">
      <c r="A21" s="4">
        <v>18</v>
      </c>
      <c r="B21" s="10">
        <v>1</v>
      </c>
      <c r="C21" s="4" t="s">
        <v>85</v>
      </c>
      <c r="D21" s="4" t="s">
        <v>171</v>
      </c>
      <c r="E21" s="4" t="s">
        <v>224</v>
      </c>
      <c r="F21" s="4" t="s">
        <v>173</v>
      </c>
      <c r="G21" s="4" t="s">
        <v>225</v>
      </c>
      <c r="H21" s="4" t="s">
        <v>226</v>
      </c>
      <c r="I21" s="4" t="s">
        <v>174</v>
      </c>
    </row>
    <row r="22" spans="1:9" x14ac:dyDescent="0.25">
      <c r="A22" s="16"/>
      <c r="B22" s="16"/>
      <c r="C22" s="16"/>
      <c r="D22" s="16"/>
      <c r="E22" s="16"/>
      <c r="F22" s="16"/>
      <c r="G22" s="16"/>
      <c r="H22" s="16"/>
      <c r="I22" s="16"/>
    </row>
    <row r="23" spans="1:9" x14ac:dyDescent="0.25">
      <c r="A23" s="16"/>
      <c r="B23" s="16"/>
      <c r="C23" s="16"/>
      <c r="D23" s="16"/>
      <c r="E23" s="16"/>
      <c r="F23" s="16"/>
      <c r="G23" s="16"/>
      <c r="H23" s="16"/>
      <c r="I23" s="16"/>
    </row>
    <row r="24" spans="1:9" x14ac:dyDescent="0.25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25">
      <c r="A25" s="16"/>
      <c r="B25" s="16"/>
      <c r="C25" s="16"/>
      <c r="D25" s="16"/>
      <c r="E25" s="16"/>
      <c r="F25" s="16"/>
      <c r="G25" s="16"/>
      <c r="H25" s="16"/>
      <c r="I25" s="16"/>
    </row>
    <row r="26" spans="1:9" x14ac:dyDescent="0.25">
      <c r="A26" s="16"/>
      <c r="B26" s="16"/>
      <c r="C26" s="16"/>
      <c r="D26" s="16"/>
      <c r="E26" s="16"/>
      <c r="F26" s="16"/>
      <c r="G26" s="16"/>
      <c r="H26" s="16"/>
      <c r="I26" s="16"/>
    </row>
    <row r="27" spans="1:9" x14ac:dyDescent="0.25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25">
      <c r="A28" s="16"/>
      <c r="B28" s="16"/>
      <c r="C28" s="16"/>
      <c r="D28" s="16"/>
      <c r="E28" s="16"/>
      <c r="F28" s="16"/>
      <c r="G28" s="16"/>
      <c r="H28" s="16"/>
      <c r="I28" s="16"/>
    </row>
    <row r="29" spans="1:9" x14ac:dyDescent="0.25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25">
      <c r="A30" s="16"/>
      <c r="B30" s="16"/>
      <c r="C30" s="16"/>
      <c r="D30" s="16"/>
      <c r="E30" s="16"/>
      <c r="F30" s="16"/>
      <c r="G30" s="16"/>
      <c r="H30" s="16"/>
      <c r="I30" s="16"/>
    </row>
    <row r="31" spans="1:9" x14ac:dyDescent="0.25">
      <c r="A31" s="16"/>
      <c r="B31" s="16"/>
      <c r="C31" s="16"/>
      <c r="D31" s="16"/>
      <c r="E31" s="16"/>
      <c r="F31" s="16"/>
      <c r="G31" s="16"/>
      <c r="H31" s="16"/>
      <c r="I31" s="16"/>
    </row>
    <row r="32" spans="1:9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6"/>
      <c r="B37" s="16"/>
      <c r="C37" s="16"/>
      <c r="D37" s="16"/>
      <c r="E37" s="16"/>
      <c r="F37" s="16"/>
      <c r="G37" s="16"/>
      <c r="H37" s="16"/>
      <c r="I37" s="16"/>
    </row>
    <row r="38" spans="1:9" x14ac:dyDescent="0.25">
      <c r="A38" s="16"/>
      <c r="B38" s="16"/>
      <c r="C38" s="16"/>
      <c r="D38" s="16"/>
      <c r="E38" s="16"/>
      <c r="F38" s="16"/>
      <c r="G38" s="16"/>
      <c r="H38" s="16"/>
      <c r="I38" s="16"/>
    </row>
    <row r="39" spans="1:9" x14ac:dyDescent="0.25">
      <c r="A39" s="16"/>
      <c r="B39" s="16"/>
      <c r="C39" s="16"/>
      <c r="D39" s="16"/>
      <c r="E39" s="16"/>
      <c r="F39" s="16"/>
      <c r="G39" s="16"/>
      <c r="H39" s="16"/>
      <c r="I39" s="16"/>
    </row>
    <row r="40" spans="1:9" x14ac:dyDescent="0.25">
      <c r="A40" s="16"/>
      <c r="B40" s="16"/>
      <c r="C40" s="16"/>
      <c r="D40" s="16"/>
      <c r="E40" s="16"/>
      <c r="F40" s="16"/>
      <c r="G40" s="16"/>
      <c r="H40" s="16"/>
      <c r="I40" s="16"/>
    </row>
    <row r="41" spans="1:9" x14ac:dyDescent="0.25">
      <c r="A41" s="16"/>
      <c r="B41" s="16"/>
      <c r="C41" s="16"/>
      <c r="D41" s="16"/>
      <c r="E41" s="16"/>
      <c r="F41" s="16"/>
      <c r="G41" s="16"/>
      <c r="H41" s="16"/>
      <c r="I41" s="16"/>
    </row>
  </sheetData>
  <mergeCells count="1">
    <mergeCell ref="B1:I2"/>
  </mergeCells>
  <hyperlinks>
    <hyperlink ref="G6" r:id="rId1" display="https://www.mouser.in/ProductDetail/Murata-Electronics/GCJ31CC71C226ME02L?qs=efUn273yAhcu4hcZv8C1jw%3D%3D"/>
    <hyperlink ref="H6" r:id="rId2" display="https://www.mouser.in/manufacturer/murataelectronics/"/>
    <hyperlink ref="H8" r:id="rId3" display="https://www.mouser.in/manufacturer/murataelectronics/"/>
    <hyperlink ref="G7" r:id="rId4" display="https://www.mouser.in/ProductDetail/KYOCERA-AVX/0402X7R104KT7AT?qs=DPoM0jnrROXD467pFR2ukA%3D%3D"/>
    <hyperlink ref="H7" r:id="rId5" display="https://www.mouser.in/manufacturer/kyocera-avx/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zoomScale="70" zoomScaleNormal="70" workbookViewId="0">
      <selection activeCell="K36" sqref="K36"/>
    </sheetView>
  </sheetViews>
  <sheetFormatPr defaultRowHeight="15" x14ac:dyDescent="0.25"/>
  <cols>
    <col min="2" max="2" width="51.140625" bestFit="1" customWidth="1"/>
    <col min="3" max="3" width="20.140625" customWidth="1"/>
    <col min="4" max="4" width="69.7109375" customWidth="1"/>
    <col min="5" max="5" width="136.28515625" hidden="1" customWidth="1"/>
    <col min="6" max="6" width="63" customWidth="1"/>
    <col min="7" max="7" width="4.140625" bestFit="1" customWidth="1"/>
    <col min="10" max="10" width="8.7109375" bestFit="1" customWidth="1"/>
    <col min="11" max="11" width="81.42578125" bestFit="1" customWidth="1"/>
  </cols>
  <sheetData>
    <row r="1" spans="1:11" ht="15" customHeight="1" x14ac:dyDescent="0.25">
      <c r="C1" s="6" t="s">
        <v>0</v>
      </c>
      <c r="D1" s="7"/>
      <c r="E1" s="7"/>
      <c r="F1" s="7"/>
      <c r="G1" s="7"/>
      <c r="H1" s="7"/>
      <c r="I1" s="7"/>
      <c r="J1" s="7"/>
      <c r="K1" s="7"/>
    </row>
    <row r="2" spans="1:11" ht="15" customHeight="1" x14ac:dyDescent="0.25">
      <c r="C2" s="6"/>
      <c r="D2" s="7"/>
      <c r="E2" s="7"/>
      <c r="F2" s="7"/>
      <c r="G2" s="7"/>
      <c r="H2" s="7"/>
      <c r="I2" s="7"/>
      <c r="J2" s="7"/>
      <c r="K2" s="7"/>
    </row>
    <row r="3" spans="1:11" ht="15.75" thickBot="1" x14ac:dyDescent="0.3"/>
    <row r="4" spans="1:11" ht="16.5" thickTop="1" thickBot="1" x14ac:dyDescent="0.3">
      <c r="A4" s="3" t="s">
        <v>115</v>
      </c>
      <c r="B4" s="3" t="s">
        <v>1</v>
      </c>
      <c r="C4" s="3" t="s">
        <v>2</v>
      </c>
      <c r="D4" s="3" t="s">
        <v>131</v>
      </c>
      <c r="E4" s="3" t="s">
        <v>3</v>
      </c>
      <c r="F4" s="3" t="s">
        <v>4</v>
      </c>
      <c r="G4" s="3" t="s">
        <v>5</v>
      </c>
      <c r="I4" s="2" t="s">
        <v>128</v>
      </c>
      <c r="J4" s="2" t="s">
        <v>116</v>
      </c>
      <c r="K4" s="2" t="s">
        <v>129</v>
      </c>
    </row>
    <row r="5" spans="1:11" ht="15.75" thickTop="1" x14ac:dyDescent="0.25">
      <c r="A5" s="4">
        <v>1</v>
      </c>
      <c r="B5" s="4" t="s">
        <v>6</v>
      </c>
      <c r="C5" s="4" t="s">
        <v>7</v>
      </c>
      <c r="D5" s="4" t="s">
        <v>175</v>
      </c>
      <c r="E5" s="4" t="s">
        <v>8</v>
      </c>
      <c r="F5" s="4" t="s">
        <v>9</v>
      </c>
      <c r="G5" s="4">
        <v>1</v>
      </c>
      <c r="I5" s="4" t="s">
        <v>117</v>
      </c>
      <c r="J5" s="4">
        <f>SUM(G6,G9,G11)</f>
        <v>22</v>
      </c>
      <c r="K5" s="4">
        <v>1206</v>
      </c>
    </row>
    <row r="6" spans="1:11" x14ac:dyDescent="0.25">
      <c r="A6" s="4">
        <v>2</v>
      </c>
      <c r="B6" s="4" t="s">
        <v>10</v>
      </c>
      <c r="C6" s="4" t="s">
        <v>11</v>
      </c>
      <c r="D6" s="4" t="s">
        <v>137</v>
      </c>
      <c r="E6" s="4" t="s">
        <v>8</v>
      </c>
      <c r="F6" s="4" t="s">
        <v>12</v>
      </c>
      <c r="G6" s="4">
        <v>13</v>
      </c>
      <c r="H6" s="5"/>
      <c r="I6" s="4" t="s">
        <v>118</v>
      </c>
      <c r="J6" s="4">
        <f>SUM(G24,G25,G26,G27,G28,G29,G30,G31)</f>
        <v>24</v>
      </c>
      <c r="K6" s="4">
        <v>1206</v>
      </c>
    </row>
    <row r="7" spans="1:11" x14ac:dyDescent="0.25">
      <c r="A7" s="4">
        <v>3</v>
      </c>
      <c r="B7" s="4" t="s">
        <v>13</v>
      </c>
      <c r="C7" s="4" t="s">
        <v>14</v>
      </c>
      <c r="D7" s="4" t="s">
        <v>137</v>
      </c>
      <c r="E7" s="4" t="s">
        <v>8</v>
      </c>
      <c r="F7" s="4" t="s">
        <v>15</v>
      </c>
      <c r="G7" s="4">
        <v>1</v>
      </c>
      <c r="I7" s="4" t="s">
        <v>119</v>
      </c>
      <c r="J7" s="4">
        <f>SUM(G22,G23)</f>
        <v>2</v>
      </c>
      <c r="K7" s="4" t="s">
        <v>125</v>
      </c>
    </row>
    <row r="8" spans="1:11" x14ac:dyDescent="0.25">
      <c r="A8" s="4">
        <v>4</v>
      </c>
      <c r="B8" s="4" t="s">
        <v>16</v>
      </c>
      <c r="C8" s="4" t="s">
        <v>17</v>
      </c>
      <c r="D8" s="4" t="s">
        <v>176</v>
      </c>
      <c r="E8" s="4" t="s">
        <v>8</v>
      </c>
      <c r="F8" s="4" t="s">
        <v>18</v>
      </c>
      <c r="G8" s="4">
        <v>1</v>
      </c>
      <c r="I8" s="4" t="s">
        <v>120</v>
      </c>
      <c r="J8" s="4">
        <f>SUM(G5,G17,G18,G19,G20,G21,G32,G41)</f>
        <v>8</v>
      </c>
      <c r="K8" s="4" t="s">
        <v>130</v>
      </c>
    </row>
    <row r="9" spans="1:11" x14ac:dyDescent="0.25">
      <c r="A9" s="4">
        <v>5</v>
      </c>
      <c r="B9" s="4" t="s">
        <v>19</v>
      </c>
      <c r="C9" s="4" t="s">
        <v>20</v>
      </c>
      <c r="D9" s="4" t="s">
        <v>137</v>
      </c>
      <c r="E9" s="4" t="s">
        <v>8</v>
      </c>
      <c r="F9" s="4" t="s">
        <v>12</v>
      </c>
      <c r="G9" s="4">
        <v>2</v>
      </c>
      <c r="I9" s="4" t="s">
        <v>121</v>
      </c>
      <c r="J9" s="4">
        <f>SUM(G15,G16)</f>
        <v>5</v>
      </c>
      <c r="K9" s="4" t="s">
        <v>126</v>
      </c>
    </row>
    <row r="10" spans="1:11" x14ac:dyDescent="0.25">
      <c r="A10" s="4">
        <v>6</v>
      </c>
      <c r="B10" s="4" t="s">
        <v>21</v>
      </c>
      <c r="C10" s="4" t="s">
        <v>22</v>
      </c>
      <c r="D10" s="4" t="s">
        <v>137</v>
      </c>
      <c r="E10" s="4" t="s">
        <v>8</v>
      </c>
      <c r="F10" s="4" t="s">
        <v>23</v>
      </c>
      <c r="G10" s="4">
        <v>1</v>
      </c>
      <c r="I10" s="4" t="s">
        <v>122</v>
      </c>
      <c r="J10" s="4">
        <f>SUM(G13)</f>
        <v>4</v>
      </c>
      <c r="K10" s="4" t="s">
        <v>122</v>
      </c>
    </row>
    <row r="11" spans="1:11" x14ac:dyDescent="0.25">
      <c r="A11" s="4">
        <v>7</v>
      </c>
      <c r="B11" s="4" t="s">
        <v>24</v>
      </c>
      <c r="C11" s="4" t="s">
        <v>25</v>
      </c>
      <c r="D11" s="4" t="s">
        <v>137</v>
      </c>
      <c r="E11" s="4" t="s">
        <v>8</v>
      </c>
      <c r="F11" s="4" t="s">
        <v>12</v>
      </c>
      <c r="G11" s="4">
        <v>7</v>
      </c>
      <c r="I11" s="4" t="s">
        <v>123</v>
      </c>
      <c r="J11" s="4">
        <f>SUM(G33,G34,G35,G36,G37,G38,G39,G40)</f>
        <v>8</v>
      </c>
      <c r="K11" s="4" t="s">
        <v>127</v>
      </c>
    </row>
    <row r="12" spans="1:11" x14ac:dyDescent="0.25">
      <c r="A12" s="4">
        <v>8</v>
      </c>
      <c r="B12" s="4" t="s">
        <v>26</v>
      </c>
      <c r="C12" s="4" t="s">
        <v>27</v>
      </c>
      <c r="D12" s="4" t="s">
        <v>176</v>
      </c>
      <c r="E12" s="4" t="s">
        <v>8</v>
      </c>
      <c r="F12" s="4" t="s">
        <v>18</v>
      </c>
      <c r="G12" s="4">
        <v>1</v>
      </c>
      <c r="I12" s="4" t="s">
        <v>32</v>
      </c>
      <c r="J12" s="4">
        <f>SUM(G14)</f>
        <v>1</v>
      </c>
      <c r="K12" s="4">
        <v>1206</v>
      </c>
    </row>
    <row r="13" spans="1:11" x14ac:dyDescent="0.25">
      <c r="A13" s="4">
        <v>9</v>
      </c>
      <c r="B13" s="4" t="s">
        <v>28</v>
      </c>
      <c r="C13" s="4" t="s">
        <v>29</v>
      </c>
      <c r="D13" s="4" t="s">
        <v>177</v>
      </c>
      <c r="E13" s="4" t="s">
        <v>8</v>
      </c>
      <c r="F13" s="4" t="s">
        <v>30</v>
      </c>
      <c r="G13" s="4">
        <v>4</v>
      </c>
      <c r="I13" s="4" t="s">
        <v>124</v>
      </c>
      <c r="J13" s="4">
        <f>SUM(J5:J12)</f>
        <v>74</v>
      </c>
      <c r="K13" s="4"/>
    </row>
    <row r="14" spans="1:11" x14ac:dyDescent="0.25">
      <c r="A14" s="4">
        <v>10</v>
      </c>
      <c r="B14" s="4" t="s">
        <v>31</v>
      </c>
      <c r="C14" s="4" t="s">
        <v>32</v>
      </c>
      <c r="D14" s="4" t="s">
        <v>144</v>
      </c>
      <c r="E14" s="4" t="s">
        <v>8</v>
      </c>
      <c r="F14" s="4" t="s">
        <v>33</v>
      </c>
      <c r="G14" s="4">
        <v>1</v>
      </c>
    </row>
    <row r="15" spans="1:11" x14ac:dyDescent="0.25">
      <c r="A15" s="4">
        <v>11</v>
      </c>
      <c r="B15" s="4" t="s">
        <v>34</v>
      </c>
      <c r="C15" s="4" t="s">
        <v>35</v>
      </c>
      <c r="D15" s="4" t="s">
        <v>178</v>
      </c>
      <c r="E15" s="4" t="s">
        <v>36</v>
      </c>
      <c r="F15" s="4" t="s">
        <v>37</v>
      </c>
      <c r="G15" s="4">
        <v>2</v>
      </c>
    </row>
    <row r="16" spans="1:11" x14ac:dyDescent="0.25">
      <c r="A16" s="4">
        <v>12</v>
      </c>
      <c r="B16" s="4" t="s">
        <v>38</v>
      </c>
      <c r="C16" s="4" t="s">
        <v>39</v>
      </c>
      <c r="D16" s="4" t="s">
        <v>179</v>
      </c>
      <c r="E16" s="4" t="s">
        <v>40</v>
      </c>
      <c r="F16" s="4" t="s">
        <v>37</v>
      </c>
      <c r="G16" s="4">
        <v>3</v>
      </c>
    </row>
    <row r="17" spans="1:7" x14ac:dyDescent="0.25">
      <c r="A17" s="4">
        <v>13</v>
      </c>
      <c r="B17" s="4" t="s">
        <v>41</v>
      </c>
      <c r="C17" s="4" t="s">
        <v>42</v>
      </c>
      <c r="D17" s="4" t="s">
        <v>151</v>
      </c>
      <c r="E17" s="4" t="s">
        <v>8</v>
      </c>
      <c r="F17" s="4" t="s">
        <v>43</v>
      </c>
      <c r="G17" s="4">
        <v>1</v>
      </c>
    </row>
    <row r="18" spans="1:7" x14ac:dyDescent="0.25">
      <c r="A18" s="4">
        <v>14</v>
      </c>
      <c r="B18" s="4" t="s">
        <v>44</v>
      </c>
      <c r="C18" s="4" t="s">
        <v>45</v>
      </c>
      <c r="D18" s="4" t="s">
        <v>180</v>
      </c>
      <c r="E18" s="4" t="s">
        <v>8</v>
      </c>
      <c r="F18" s="4" t="s">
        <v>46</v>
      </c>
      <c r="G18" s="4">
        <v>1</v>
      </c>
    </row>
    <row r="19" spans="1:7" x14ac:dyDescent="0.25">
      <c r="A19" s="4">
        <v>15</v>
      </c>
      <c r="B19" s="4" t="s">
        <v>47</v>
      </c>
      <c r="C19" s="4" t="s">
        <v>48</v>
      </c>
      <c r="D19" s="4" t="s">
        <v>147</v>
      </c>
      <c r="E19" s="4" t="s">
        <v>8</v>
      </c>
      <c r="F19" s="4" t="s">
        <v>49</v>
      </c>
      <c r="G19" s="4">
        <v>1</v>
      </c>
    </row>
    <row r="20" spans="1:7" x14ac:dyDescent="0.25">
      <c r="A20" s="4">
        <v>16</v>
      </c>
      <c r="B20" s="4" t="s">
        <v>50</v>
      </c>
      <c r="C20" s="4" t="s">
        <v>51</v>
      </c>
      <c r="D20" s="4" t="s">
        <v>181</v>
      </c>
      <c r="E20" s="4" t="s">
        <v>8</v>
      </c>
      <c r="F20" s="4" t="s">
        <v>52</v>
      </c>
      <c r="G20" s="4">
        <v>1</v>
      </c>
    </row>
    <row r="21" spans="1:7" x14ac:dyDescent="0.25">
      <c r="A21" s="4">
        <v>17</v>
      </c>
      <c r="B21" s="4" t="s">
        <v>53</v>
      </c>
      <c r="C21" s="4" t="s">
        <v>54</v>
      </c>
      <c r="D21" s="4" t="s">
        <v>182</v>
      </c>
      <c r="E21" s="4" t="s">
        <v>8</v>
      </c>
      <c r="F21" s="4" t="s">
        <v>55</v>
      </c>
      <c r="G21" s="4">
        <v>1</v>
      </c>
    </row>
    <row r="22" spans="1:7" x14ac:dyDescent="0.25">
      <c r="A22" s="4">
        <v>18</v>
      </c>
      <c r="B22" s="4" t="s">
        <v>56</v>
      </c>
      <c r="C22" s="4" t="s">
        <v>57</v>
      </c>
      <c r="D22" s="4" t="s">
        <v>183</v>
      </c>
      <c r="E22" s="4" t="s">
        <v>8</v>
      </c>
      <c r="F22" s="4" t="s">
        <v>58</v>
      </c>
      <c r="G22" s="4">
        <v>1</v>
      </c>
    </row>
    <row r="23" spans="1:7" x14ac:dyDescent="0.25">
      <c r="A23" s="4">
        <v>19</v>
      </c>
      <c r="B23" s="4" t="s">
        <v>59</v>
      </c>
      <c r="C23" s="4" t="s">
        <v>60</v>
      </c>
      <c r="D23" s="4" t="s">
        <v>183</v>
      </c>
      <c r="E23" s="4" t="s">
        <v>8</v>
      </c>
      <c r="F23" s="4" t="s">
        <v>58</v>
      </c>
      <c r="G23" s="4">
        <v>1</v>
      </c>
    </row>
    <row r="24" spans="1:7" x14ac:dyDescent="0.25">
      <c r="A24" s="4">
        <v>20</v>
      </c>
      <c r="B24" s="4" t="s">
        <v>61</v>
      </c>
      <c r="C24" s="4" t="s">
        <v>62</v>
      </c>
      <c r="D24" s="4" t="s">
        <v>162</v>
      </c>
      <c r="E24" s="4" t="s">
        <v>8</v>
      </c>
      <c r="F24" s="4" t="s">
        <v>63</v>
      </c>
      <c r="G24" s="4">
        <v>2</v>
      </c>
    </row>
    <row r="25" spans="1:7" x14ac:dyDescent="0.25">
      <c r="A25" s="4">
        <v>21</v>
      </c>
      <c r="B25" s="4" t="s">
        <v>64</v>
      </c>
      <c r="C25" s="4" t="s">
        <v>65</v>
      </c>
      <c r="D25" s="4" t="s">
        <v>162</v>
      </c>
      <c r="E25" s="4" t="s">
        <v>8</v>
      </c>
      <c r="F25" s="4" t="s">
        <v>63</v>
      </c>
      <c r="G25" s="4">
        <v>2</v>
      </c>
    </row>
    <row r="26" spans="1:7" x14ac:dyDescent="0.25">
      <c r="A26" s="4">
        <v>22</v>
      </c>
      <c r="B26" s="4" t="s">
        <v>66</v>
      </c>
      <c r="C26" s="4" t="s">
        <v>67</v>
      </c>
      <c r="D26" s="4" t="s">
        <v>162</v>
      </c>
      <c r="E26" s="4" t="s">
        <v>8</v>
      </c>
      <c r="F26" s="4" t="s">
        <v>63</v>
      </c>
      <c r="G26" s="4">
        <v>2</v>
      </c>
    </row>
    <row r="27" spans="1:7" x14ac:dyDescent="0.25">
      <c r="A27" s="4">
        <v>23</v>
      </c>
      <c r="B27" s="4" t="s">
        <v>68</v>
      </c>
      <c r="C27" s="4" t="s">
        <v>69</v>
      </c>
      <c r="D27" s="4" t="s">
        <v>162</v>
      </c>
      <c r="E27" s="4" t="s">
        <v>8</v>
      </c>
      <c r="F27" s="4" t="s">
        <v>63</v>
      </c>
      <c r="G27" s="4">
        <v>1</v>
      </c>
    </row>
    <row r="28" spans="1:7" x14ac:dyDescent="0.25">
      <c r="A28" s="4">
        <v>24</v>
      </c>
      <c r="B28" s="4" t="s">
        <v>70</v>
      </c>
      <c r="C28" s="4" t="s">
        <v>71</v>
      </c>
      <c r="D28" s="4" t="s">
        <v>162</v>
      </c>
      <c r="E28" s="4" t="s">
        <v>8</v>
      </c>
      <c r="F28" s="4" t="s">
        <v>63</v>
      </c>
      <c r="G28" s="4">
        <v>2</v>
      </c>
    </row>
    <row r="29" spans="1:7" x14ac:dyDescent="0.25">
      <c r="A29" s="4">
        <v>25</v>
      </c>
      <c r="B29" s="4" t="s">
        <v>72</v>
      </c>
      <c r="C29" s="4" t="s">
        <v>73</v>
      </c>
      <c r="D29" s="4" t="s">
        <v>162</v>
      </c>
      <c r="E29" s="4" t="s">
        <v>8</v>
      </c>
      <c r="F29" s="4" t="s">
        <v>63</v>
      </c>
      <c r="G29" s="4">
        <v>8</v>
      </c>
    </row>
    <row r="30" spans="1:7" x14ac:dyDescent="0.25">
      <c r="A30" s="4">
        <v>26</v>
      </c>
      <c r="B30" s="4" t="s">
        <v>74</v>
      </c>
      <c r="C30" s="4" t="s">
        <v>75</v>
      </c>
      <c r="D30" s="4" t="s">
        <v>162</v>
      </c>
      <c r="E30" s="4" t="s">
        <v>8</v>
      </c>
      <c r="F30" s="4" t="s">
        <v>63</v>
      </c>
      <c r="G30" s="4">
        <v>2</v>
      </c>
    </row>
    <row r="31" spans="1:7" x14ac:dyDescent="0.25">
      <c r="A31" s="4">
        <v>27</v>
      </c>
      <c r="B31" s="4" t="s">
        <v>76</v>
      </c>
      <c r="C31" s="4" t="s">
        <v>77</v>
      </c>
      <c r="D31" s="4" t="s">
        <v>162</v>
      </c>
      <c r="E31" s="4" t="s">
        <v>8</v>
      </c>
      <c r="F31" s="4" t="s">
        <v>63</v>
      </c>
      <c r="G31" s="4">
        <v>5</v>
      </c>
    </row>
    <row r="32" spans="1:7" x14ac:dyDescent="0.25">
      <c r="A32" s="4">
        <v>28</v>
      </c>
      <c r="B32" s="4" t="s">
        <v>78</v>
      </c>
      <c r="C32" s="4" t="s">
        <v>79</v>
      </c>
      <c r="D32" s="4" t="s">
        <v>184</v>
      </c>
      <c r="E32" s="4" t="s">
        <v>8</v>
      </c>
      <c r="F32" s="4" t="s">
        <v>80</v>
      </c>
      <c r="G32" s="4">
        <v>1</v>
      </c>
    </row>
    <row r="33" spans="1:7" x14ac:dyDescent="0.25">
      <c r="A33" s="4">
        <v>29</v>
      </c>
      <c r="B33" s="4" t="s">
        <v>81</v>
      </c>
      <c r="C33" s="4" t="s">
        <v>82</v>
      </c>
      <c r="D33" s="4" t="s">
        <v>185</v>
      </c>
      <c r="E33" s="4" t="s">
        <v>83</v>
      </c>
      <c r="F33" s="4" t="s">
        <v>84</v>
      </c>
      <c r="G33" s="4">
        <v>1</v>
      </c>
    </row>
    <row r="34" spans="1:7" x14ac:dyDescent="0.25">
      <c r="A34" s="4">
        <v>30</v>
      </c>
      <c r="B34" s="4" t="s">
        <v>85</v>
      </c>
      <c r="C34" s="4" t="s">
        <v>86</v>
      </c>
      <c r="D34" s="4" t="s">
        <v>186</v>
      </c>
      <c r="E34" s="4" t="s">
        <v>87</v>
      </c>
      <c r="F34" s="4" t="s">
        <v>88</v>
      </c>
      <c r="G34" s="4">
        <v>1</v>
      </c>
    </row>
    <row r="35" spans="1:7" x14ac:dyDescent="0.25">
      <c r="A35" s="4">
        <v>31</v>
      </c>
      <c r="B35" s="4" t="s">
        <v>89</v>
      </c>
      <c r="C35" s="4" t="s">
        <v>90</v>
      </c>
      <c r="D35" s="4"/>
      <c r="E35" s="4" t="s">
        <v>90</v>
      </c>
      <c r="F35" s="4" t="s">
        <v>91</v>
      </c>
      <c r="G35" s="4">
        <v>1</v>
      </c>
    </row>
    <row r="36" spans="1:7" x14ac:dyDescent="0.25">
      <c r="A36" s="4">
        <v>32</v>
      </c>
      <c r="B36" s="4" t="s">
        <v>92</v>
      </c>
      <c r="C36" s="4" t="s">
        <v>93</v>
      </c>
      <c r="D36" s="4" t="s">
        <v>187</v>
      </c>
      <c r="E36" s="4" t="s">
        <v>94</v>
      </c>
      <c r="F36" s="4" t="s">
        <v>95</v>
      </c>
      <c r="G36" s="4">
        <v>1</v>
      </c>
    </row>
    <row r="37" spans="1:7" x14ac:dyDescent="0.25">
      <c r="A37" s="4">
        <v>33</v>
      </c>
      <c r="B37" s="4" t="s">
        <v>96</v>
      </c>
      <c r="C37" s="4" t="s">
        <v>97</v>
      </c>
      <c r="D37" s="4" t="s">
        <v>170</v>
      </c>
      <c r="E37" s="4" t="s">
        <v>98</v>
      </c>
      <c r="F37" s="4" t="s">
        <v>99</v>
      </c>
      <c r="G37" s="4">
        <v>1</v>
      </c>
    </row>
    <row r="38" spans="1:7" x14ac:dyDescent="0.25">
      <c r="A38" s="4">
        <v>34</v>
      </c>
      <c r="B38" s="4" t="s">
        <v>100</v>
      </c>
      <c r="C38" s="4" t="s">
        <v>101</v>
      </c>
      <c r="D38" s="4" t="s">
        <v>188</v>
      </c>
      <c r="E38" s="4" t="s">
        <v>102</v>
      </c>
      <c r="F38" s="4" t="s">
        <v>103</v>
      </c>
      <c r="G38" s="4">
        <v>1</v>
      </c>
    </row>
    <row r="39" spans="1:7" x14ac:dyDescent="0.25">
      <c r="A39" s="4">
        <v>35</v>
      </c>
      <c r="B39" s="4" t="s">
        <v>104</v>
      </c>
      <c r="C39" s="4" t="s">
        <v>105</v>
      </c>
      <c r="D39" s="4"/>
      <c r="E39" s="4" t="s">
        <v>105</v>
      </c>
      <c r="F39" s="4" t="s">
        <v>106</v>
      </c>
      <c r="G39" s="4">
        <v>1</v>
      </c>
    </row>
    <row r="40" spans="1:7" x14ac:dyDescent="0.25">
      <c r="A40" s="4">
        <v>36</v>
      </c>
      <c r="B40" s="4" t="s">
        <v>107</v>
      </c>
      <c r="C40" s="4" t="s">
        <v>108</v>
      </c>
      <c r="D40" s="4" t="s">
        <v>189</v>
      </c>
      <c r="E40" s="4" t="s">
        <v>109</v>
      </c>
      <c r="F40" s="4" t="s">
        <v>110</v>
      </c>
      <c r="G40" s="4">
        <v>1</v>
      </c>
    </row>
    <row r="41" spans="1:7" x14ac:dyDescent="0.25">
      <c r="A41" s="4">
        <v>37</v>
      </c>
      <c r="B41" s="4" t="s">
        <v>111</v>
      </c>
      <c r="C41" s="4" t="s">
        <v>112</v>
      </c>
      <c r="D41" s="4" t="s">
        <v>190</v>
      </c>
      <c r="E41" s="4" t="s">
        <v>113</v>
      </c>
      <c r="F41" s="4" t="s">
        <v>114</v>
      </c>
      <c r="G41" s="4">
        <v>1</v>
      </c>
    </row>
  </sheetData>
  <mergeCells count="1">
    <mergeCell ref="C1:K2"/>
  </mergeCells>
  <pageMargins left="0.25" right="0.25" top="0.75" bottom="0.75" header="0.3" footer="0.3"/>
  <pageSetup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workbookViewId="0">
      <selection activeCell="F25" sqref="F25"/>
    </sheetView>
  </sheetViews>
  <sheetFormatPr defaultRowHeight="15" x14ac:dyDescent="0.25"/>
  <cols>
    <col min="2" max="2" width="11.28515625" bestFit="1" customWidth="1"/>
    <col min="3" max="3" width="33.140625" bestFit="1" customWidth="1"/>
    <col min="4" max="4" width="113.7109375" bestFit="1" customWidth="1"/>
    <col min="5" max="5" width="140.85546875" hidden="1" customWidth="1"/>
    <col min="6" max="6" width="62" bestFit="1" customWidth="1"/>
    <col min="7" max="7" width="4.140625" bestFit="1" customWidth="1"/>
    <col min="11" max="11" width="9.85546875" bestFit="1" customWidth="1"/>
  </cols>
  <sheetData>
    <row r="1" spans="1:13" x14ac:dyDescent="0.25">
      <c r="C1" s="8" t="s">
        <v>191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thickBot="1" x14ac:dyDescent="0.3"/>
    <row r="4" spans="1:13" ht="16.5" thickTop="1" thickBot="1" x14ac:dyDescent="0.3">
      <c r="A4" s="2" t="s">
        <v>115</v>
      </c>
      <c r="B4" s="2" t="s">
        <v>1</v>
      </c>
      <c r="C4" s="2" t="s">
        <v>2</v>
      </c>
      <c r="D4" s="2" t="s">
        <v>131</v>
      </c>
      <c r="E4" s="2" t="s">
        <v>3</v>
      </c>
      <c r="F4" s="2" t="s">
        <v>4</v>
      </c>
      <c r="G4" s="2" t="s">
        <v>5</v>
      </c>
      <c r="I4" s="9" t="s">
        <v>128</v>
      </c>
      <c r="J4" s="9" t="s">
        <v>116</v>
      </c>
      <c r="K4" s="9" t="s">
        <v>129</v>
      </c>
    </row>
    <row r="5" spans="1:13" ht="15.75" thickTop="1" x14ac:dyDescent="0.25">
      <c r="A5">
        <v>1</v>
      </c>
      <c r="B5" t="s">
        <v>132</v>
      </c>
      <c r="C5" t="s">
        <v>8</v>
      </c>
      <c r="D5" t="s">
        <v>134</v>
      </c>
      <c r="E5" t="s">
        <v>8</v>
      </c>
      <c r="F5" t="s">
        <v>133</v>
      </c>
      <c r="G5">
        <v>1</v>
      </c>
      <c r="I5" s="4" t="s">
        <v>117</v>
      </c>
      <c r="J5" s="4">
        <f>SUM(G6,G7,G8,G9)</f>
        <v>8</v>
      </c>
      <c r="K5" s="4">
        <v>1206</v>
      </c>
    </row>
    <row r="6" spans="1:13" x14ac:dyDescent="0.25">
      <c r="A6">
        <v>2</v>
      </c>
      <c r="B6" t="s">
        <v>135</v>
      </c>
      <c r="C6" t="s">
        <v>136</v>
      </c>
      <c r="D6" t="s">
        <v>137</v>
      </c>
      <c r="E6" t="s">
        <v>8</v>
      </c>
      <c r="F6" t="s">
        <v>12</v>
      </c>
      <c r="G6">
        <v>2</v>
      </c>
      <c r="I6" s="4" t="s">
        <v>118</v>
      </c>
      <c r="J6" s="4">
        <f>SUM(G15,G16,G17,G18,G19)</f>
        <v>9</v>
      </c>
      <c r="K6" s="4">
        <v>1206</v>
      </c>
    </row>
    <row r="7" spans="1:13" x14ac:dyDescent="0.25">
      <c r="A7">
        <v>3</v>
      </c>
      <c r="B7" t="s">
        <v>138</v>
      </c>
      <c r="C7" t="s">
        <v>139</v>
      </c>
      <c r="D7" t="s">
        <v>137</v>
      </c>
      <c r="E7" t="s">
        <v>8</v>
      </c>
      <c r="F7" t="s">
        <v>12</v>
      </c>
      <c r="G7">
        <v>3</v>
      </c>
      <c r="I7" s="4" t="s">
        <v>120</v>
      </c>
      <c r="J7" s="4">
        <f>SUM(G11,G12,G20)</f>
        <v>5</v>
      </c>
      <c r="K7" s="4" t="s">
        <v>196</v>
      </c>
    </row>
    <row r="8" spans="1:13" x14ac:dyDescent="0.25">
      <c r="A8">
        <v>4</v>
      </c>
      <c r="B8" t="s">
        <v>140</v>
      </c>
      <c r="C8" t="s">
        <v>11</v>
      </c>
      <c r="D8" t="s">
        <v>137</v>
      </c>
      <c r="E8" t="s">
        <v>8</v>
      </c>
      <c r="F8" t="s">
        <v>12</v>
      </c>
      <c r="G8">
        <v>2</v>
      </c>
      <c r="I8" s="4" t="s">
        <v>123</v>
      </c>
      <c r="J8" s="4">
        <f>SUM(G21,G22)</f>
        <v>2</v>
      </c>
      <c r="K8" s="4" t="s">
        <v>194</v>
      </c>
    </row>
    <row r="9" spans="1:13" x14ac:dyDescent="0.25">
      <c r="A9">
        <v>5</v>
      </c>
      <c r="B9" t="s">
        <v>141</v>
      </c>
      <c r="C9" t="s">
        <v>142</v>
      </c>
      <c r="D9" t="s">
        <v>137</v>
      </c>
      <c r="E9" t="s">
        <v>8</v>
      </c>
      <c r="F9" t="s">
        <v>12</v>
      </c>
      <c r="G9">
        <v>1</v>
      </c>
      <c r="I9" s="4" t="s">
        <v>32</v>
      </c>
      <c r="J9" s="4">
        <f>SUM(G10)</f>
        <v>1</v>
      </c>
      <c r="K9" s="4">
        <v>1206</v>
      </c>
    </row>
    <row r="10" spans="1:13" x14ac:dyDescent="0.25">
      <c r="A10">
        <v>6</v>
      </c>
      <c r="B10" t="s">
        <v>143</v>
      </c>
      <c r="C10" t="s">
        <v>32</v>
      </c>
      <c r="D10" t="s">
        <v>144</v>
      </c>
      <c r="E10" t="s">
        <v>8</v>
      </c>
      <c r="F10" t="s">
        <v>33</v>
      </c>
      <c r="G10">
        <v>1</v>
      </c>
      <c r="I10" s="10" t="s">
        <v>192</v>
      </c>
      <c r="J10" s="4">
        <f>SUM(G14)</f>
        <v>2</v>
      </c>
      <c r="K10" s="4" t="s">
        <v>195</v>
      </c>
    </row>
    <row r="11" spans="1:13" x14ac:dyDescent="0.25">
      <c r="A11">
        <v>7</v>
      </c>
      <c r="B11" t="s">
        <v>41</v>
      </c>
      <c r="C11" t="s">
        <v>145</v>
      </c>
      <c r="D11" t="s">
        <v>147</v>
      </c>
      <c r="E11" t="s">
        <v>8</v>
      </c>
      <c r="F11" t="s">
        <v>146</v>
      </c>
      <c r="G11">
        <v>1</v>
      </c>
      <c r="I11" s="10" t="s">
        <v>193</v>
      </c>
      <c r="J11" s="4">
        <f>SUM(G5)</f>
        <v>1</v>
      </c>
      <c r="K11" s="4"/>
    </row>
    <row r="12" spans="1:13" x14ac:dyDescent="0.25">
      <c r="A12">
        <v>8</v>
      </c>
      <c r="B12" t="s">
        <v>148</v>
      </c>
      <c r="C12" t="s">
        <v>149</v>
      </c>
      <c r="D12" t="s">
        <v>151</v>
      </c>
      <c r="E12" t="s">
        <v>8</v>
      </c>
      <c r="F12" t="s">
        <v>150</v>
      </c>
      <c r="G12">
        <v>3</v>
      </c>
      <c r="I12" s="4" t="s">
        <v>124</v>
      </c>
      <c r="J12" s="4">
        <f>SUM(J5:J11)</f>
        <v>28</v>
      </c>
      <c r="K12" s="4"/>
    </row>
    <row r="13" spans="1:13" x14ac:dyDescent="0.25">
      <c r="A13">
        <v>9</v>
      </c>
      <c r="B13" t="s">
        <v>53</v>
      </c>
      <c r="C13" t="s">
        <v>152</v>
      </c>
      <c r="D13" t="s">
        <v>155</v>
      </c>
      <c r="E13" t="s">
        <v>153</v>
      </c>
      <c r="F13" t="s">
        <v>154</v>
      </c>
      <c r="G13">
        <v>1</v>
      </c>
    </row>
    <row r="14" spans="1:13" x14ac:dyDescent="0.25">
      <c r="A14">
        <v>10</v>
      </c>
      <c r="B14" t="s">
        <v>156</v>
      </c>
      <c r="C14" t="s">
        <v>157</v>
      </c>
      <c r="D14" t="s">
        <v>160</v>
      </c>
      <c r="E14" t="s">
        <v>158</v>
      </c>
      <c r="F14" t="s">
        <v>159</v>
      </c>
      <c r="G14">
        <v>2</v>
      </c>
    </row>
    <row r="15" spans="1:13" x14ac:dyDescent="0.25">
      <c r="A15">
        <v>11</v>
      </c>
      <c r="B15" t="s">
        <v>161</v>
      </c>
      <c r="C15" t="s">
        <v>65</v>
      </c>
      <c r="D15" t="s">
        <v>162</v>
      </c>
      <c r="E15" t="s">
        <v>8</v>
      </c>
      <c r="F15" t="s">
        <v>63</v>
      </c>
      <c r="G15">
        <v>1</v>
      </c>
    </row>
    <row r="16" spans="1:13" x14ac:dyDescent="0.25">
      <c r="A16">
        <v>12</v>
      </c>
      <c r="B16" t="s">
        <v>163</v>
      </c>
      <c r="C16" t="s">
        <v>73</v>
      </c>
      <c r="D16" t="s">
        <v>162</v>
      </c>
      <c r="E16" t="s">
        <v>8</v>
      </c>
      <c r="F16" t="s">
        <v>63</v>
      </c>
      <c r="G16">
        <v>4</v>
      </c>
    </row>
    <row r="17" spans="1:7" x14ac:dyDescent="0.25">
      <c r="A17">
        <v>13</v>
      </c>
      <c r="B17" t="s">
        <v>164</v>
      </c>
      <c r="C17" t="s">
        <v>165</v>
      </c>
      <c r="D17" t="s">
        <v>162</v>
      </c>
      <c r="E17" t="s">
        <v>8</v>
      </c>
      <c r="F17" t="s">
        <v>63</v>
      </c>
      <c r="G17">
        <v>2</v>
      </c>
    </row>
    <row r="18" spans="1:7" x14ac:dyDescent="0.25">
      <c r="A18">
        <v>14</v>
      </c>
      <c r="B18" t="s">
        <v>166</v>
      </c>
      <c r="C18" t="s">
        <v>167</v>
      </c>
      <c r="D18" t="s">
        <v>162</v>
      </c>
      <c r="E18" t="s">
        <v>8</v>
      </c>
      <c r="F18" t="s">
        <v>63</v>
      </c>
      <c r="G18">
        <v>1</v>
      </c>
    </row>
    <row r="19" spans="1:7" x14ac:dyDescent="0.25">
      <c r="A19">
        <v>15</v>
      </c>
      <c r="B19" t="s">
        <v>168</v>
      </c>
      <c r="C19" t="s">
        <v>77</v>
      </c>
      <c r="D19" t="s">
        <v>162</v>
      </c>
      <c r="E19" t="s">
        <v>8</v>
      </c>
      <c r="F19" t="s">
        <v>63</v>
      </c>
      <c r="G19">
        <v>1</v>
      </c>
    </row>
    <row r="20" spans="1:7" x14ac:dyDescent="0.25">
      <c r="A20">
        <v>16</v>
      </c>
      <c r="B20" t="s">
        <v>169</v>
      </c>
      <c r="C20" t="s">
        <v>8</v>
      </c>
      <c r="D20" t="s">
        <v>134</v>
      </c>
      <c r="E20" t="s">
        <v>8</v>
      </c>
      <c r="F20" t="s">
        <v>150</v>
      </c>
      <c r="G20">
        <v>1</v>
      </c>
    </row>
    <row r="21" spans="1:7" x14ac:dyDescent="0.25">
      <c r="A21">
        <v>17</v>
      </c>
      <c r="B21" t="s">
        <v>81</v>
      </c>
      <c r="C21" t="s">
        <v>97</v>
      </c>
      <c r="D21" t="s">
        <v>170</v>
      </c>
      <c r="E21" t="s">
        <v>98</v>
      </c>
      <c r="F21" t="s">
        <v>99</v>
      </c>
      <c r="G21">
        <v>1</v>
      </c>
    </row>
    <row r="22" spans="1:7" x14ac:dyDescent="0.25">
      <c r="A22">
        <v>18</v>
      </c>
      <c r="B22" t="s">
        <v>85</v>
      </c>
      <c r="C22" t="s">
        <v>171</v>
      </c>
      <c r="D22" t="s">
        <v>174</v>
      </c>
      <c r="E22" t="s">
        <v>172</v>
      </c>
      <c r="F22" t="s">
        <v>173</v>
      </c>
      <c r="G22">
        <v>1</v>
      </c>
    </row>
  </sheetData>
  <mergeCells count="1">
    <mergeCell ref="C1:M2"/>
  </mergeCells>
  <pageMargins left="0.25" right="0.25" top="0.75" bottom="0.75" header="0.3" footer="0.3"/>
  <pageSetup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 Calculation</vt:lpstr>
      <vt:lpstr>Purchase1</vt:lpstr>
      <vt:lpstr>Purchase2</vt:lpstr>
      <vt:lpstr>Gateway</vt:lpstr>
      <vt:lpstr>Microcontroller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2025-06-03T13:01:45Z</dcterms:modified>
</cp:coreProperties>
</file>